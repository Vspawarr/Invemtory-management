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 &amp; Assumptions" sheetId="2" state="visible" r:id="rId2"/>
    <sheet name="ABC-XYZ Reference" sheetId="3" state="visible" r:id="rId3"/>
    <sheet name="ABC Analysis" sheetId="4" state="visible" r:id="rId4"/>
    <sheet name="Holding Cost 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₹#,##0;(₹#,##0);&quot;-&quot;"/>
    <numFmt numFmtId="166" formatCode="0.0%"/>
    <numFmt numFmtId="167" formatCode="0.00&quot;x&quot;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000000"/>
    </font>
    <font>
      <name val="Arial"/>
      <color rgb="00000000"/>
    </font>
    <font>
      <name val="Arial"/>
      <b val="1"/>
      <color rgb="000000FF"/>
    </font>
    <font>
      <name val="Arial"/>
      <b val="1"/>
      <color rgb="00FFFFFF"/>
    </font>
    <font>
      <name val="Arial"/>
      <b val="1"/>
      <color rgb="00FFFFFF"/>
      <sz val="11"/>
    </font>
    <font>
      <name val="Arial"/>
      <b val="1"/>
      <i val="1"/>
      <color rgb="009C5700"/>
    </font>
    <font>
      <name val="Arial"/>
      <color rgb="000000FF"/>
    </font>
    <font>
      <name val="Arial"/>
      <b val="1"/>
      <color rgb="00008000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7" fillId="3" borderId="0" applyAlignment="1" pivotButton="0" quotePrefix="0" xfId="0">
      <alignment vertical="center" indent="1"/>
    </xf>
    <xf numFmtId="164" fontId="5" fillId="2" borderId="1" pivotButton="0" quotePrefix="0" xfId="0"/>
    <xf numFmtId="165" fontId="5" fillId="2" borderId="1" pivotButton="0" quotePrefix="0" xfId="0"/>
    <xf numFmtId="166" fontId="5" fillId="2" borderId="1" pivotButton="0" quotePrefix="0" xfId="0"/>
    <xf numFmtId="166" fontId="3" fillId="0" borderId="1" pivotButton="0" quotePrefix="0" xfId="0"/>
    <xf numFmtId="167" fontId="5" fillId="2" borderId="1" pivotButton="0" quotePrefix="0" xfId="0"/>
    <xf numFmtId="0" fontId="2" fillId="0" borderId="0" applyAlignment="1" pivotButton="0" quotePrefix="0" xfId="0">
      <alignment wrapText="1"/>
    </xf>
    <xf numFmtId="0" fontId="3" fillId="0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3" fillId="0" borderId="1" pivotButton="0" quotePrefix="0" xfId="0"/>
    <xf numFmtId="166" fontId="4" fillId="0" borderId="1" applyAlignment="1" pivotButton="0" quotePrefix="0" xfId="0">
      <alignment horizontal="center"/>
    </xf>
    <xf numFmtId="166" fontId="3" fillId="5" borderId="1" applyAlignment="1" pivotButton="0" quotePrefix="0" xfId="0">
      <alignment horizontal="center"/>
    </xf>
    <xf numFmtId="0" fontId="8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9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166" fontId="4" fillId="0" borderId="1" pivotButton="0" quotePrefix="0" xfId="0"/>
    <xf numFmtId="0" fontId="4" fillId="0" borderId="1" pivotButton="0" quotePrefix="0" xfId="0"/>
    <xf numFmtId="0" fontId="9" fillId="6" borderId="1" pivotButton="0" quotePrefix="0" xfId="0"/>
    <xf numFmtId="164" fontId="9" fillId="6" borderId="1" pivotButton="0" quotePrefix="0" xfId="0"/>
    <xf numFmtId="165" fontId="9" fillId="6" borderId="1" pivotButton="0" quotePrefix="0" xfId="0"/>
    <xf numFmtId="165" fontId="4" fillId="6" borderId="1" pivotButton="0" quotePrefix="0" xfId="0"/>
    <xf numFmtId="164" fontId="4" fillId="6" borderId="1" pivotButton="0" quotePrefix="0" xfId="0"/>
    <xf numFmtId="166" fontId="4" fillId="6" borderId="1" pivotButton="0" quotePrefix="0" xfId="0"/>
    <xf numFmtId="0" fontId="3" fillId="6" borderId="1" pivotButton="0" quotePrefix="0" xfId="0"/>
    <xf numFmtId="0" fontId="0" fillId="0" borderId="1" pivotButton="0" quotePrefix="0" xfId="0"/>
    <xf numFmtId="165" fontId="3" fillId="0" borderId="1" pivotButton="0" quotePrefix="0" xfId="0"/>
    <xf numFmtId="0" fontId="3" fillId="4" borderId="1" pivotButton="0" quotePrefix="0" xfId="0"/>
    <xf numFmtId="164" fontId="3" fillId="0" borderId="1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ABC Pareto — sample data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'ABC Analysis'!N11</f>
            </strRef>
          </tx>
          <spPr>
            <a:solidFill>
              <a:srgbClr val="2A78D6"/>
            </a:solidFill>
            <a:ln>
              <a:prstDash val="solid"/>
            </a:ln>
          </spPr>
          <cat>
            <numRef>
              <f>'ABC Analysis'!$L$12:$L$71</f>
            </numRef>
          </cat>
          <val>
            <numRef>
              <f>'ABC Analysis'!$N$12:$N$71</f>
            </numRef>
          </val>
        </ser>
        <gapWidth val="20"/>
        <axId val="10"/>
        <axId val="100"/>
      </barChart>
      <lineChart>
        <grouping val="standard"/>
        <ser>
          <idx val="1"/>
          <order val="1"/>
          <tx>
            <strRef>
              <f>'ABC Analysis'!O11</f>
            </strRef>
          </tx>
          <spPr>
            <a:ln w="22000">
              <a:solidFill>
                <a:srgbClr val="D03B3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'ABC Analysis'!$O$12:$O$71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Rank (highest value first)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Annual usage value (₹)</a:t>
                </a:r>
              </a:p>
            </rich>
          </tx>
        </title>
        <majorTickMark val="none"/>
        <minorTickMark val="none"/>
        <crossAx val="10"/>
        <crosses val="autoZero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% of value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Model</author>
  </authors>
  <commentList>
    <comment ref="B10" authorId="0" shapeId="0">
      <text>
        <t>Blended landed cost per unit across the catalog.</t>
      </text>
    </comment>
    <comment ref="B12" authorId="0" shapeId="0">
      <text>
        <t>Average inventory position, in days of forward demand.</t>
      </text>
    </comment>
    <comment ref="B13" authorId="0" shapeId="0">
      <text>
        <t>Industry benchmark range for manufacturing/auto components is ~18-30%.</t>
      </text>
    </comment>
    <comment ref="B23" authorId="0" shapeId="0">
      <text>
        <t>0.85 = Conservative, 1.00 = Base case, 1.18 = Aggressive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16</col>
      <colOff>0</colOff>
      <row>73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Motherson Warehouse — Inventory Holding Cost Model</t>
        </is>
      </c>
    </row>
    <row r="3">
      <c r="B3" s="2" t="inlineStr">
        <is>
          <t>Discussion model — replace the yellow input cells with real SKU-level data as it becomes available.</t>
        </is>
      </c>
    </row>
    <row r="5">
      <c r="B5" s="3" t="inlineStr">
        <is>
          <t>How to use this workbook</t>
        </is>
      </c>
    </row>
    <row r="6">
      <c r="B6" s="4" t="inlineStr">
        <is>
          <t>1.  Go to the 'Inputs &amp; Assumptions' tab. Every yellow cell with blue text is editable.</t>
        </is>
      </c>
    </row>
    <row r="7">
      <c r="B7" s="4" t="inlineStr">
        <is>
          <t>2.  'Holding Cost Model' recalculates automatically from those inputs — nothing there needs to be typed in.</t>
        </is>
      </c>
    </row>
    <row r="8">
      <c r="B8" s="4" t="inlineStr">
        <is>
          <t>3.  Change the Scenario Multiplier (Conservative 0.85 / Base 1.00 / Aggressive 1.18) to see the savings range move.</t>
        </is>
      </c>
    </row>
    <row r="9">
      <c r="B9" s="4" t="inlineStr">
        <is>
          <t>4.  All figures are illustrative, built from industry-benchmark holding-cost ratios, until real data replaces them.</t>
        </is>
      </c>
    </row>
    <row r="11">
      <c r="B11" s="3" t="inlineStr">
        <is>
          <t>Color legend</t>
        </is>
      </c>
    </row>
    <row r="12">
      <c r="B12" s="5" t="inlineStr">
        <is>
          <t xml:space="preserve">   Editable input</t>
        </is>
      </c>
      <c r="C12" s="6" t="n"/>
    </row>
    <row r="13">
      <c r="B13" s="7" t="inlineStr">
        <is>
          <t xml:space="preserve">   Calculated (formula — do not hardcode)</t>
        </is>
      </c>
    </row>
    <row r="14">
      <c r="B14" s="8" t="inlineStr">
        <is>
          <t xml:space="preserve">   Section header</t>
        </is>
      </c>
      <c r="C14" s="9" t="n"/>
    </row>
    <row r="16">
      <c r="B16" s="3" t="inlineStr">
        <is>
          <t>Tabs</t>
        </is>
      </c>
    </row>
    <row r="17">
      <c r="B17" s="7" t="inlineStr">
        <is>
          <t xml:space="preserve">   Inputs &amp; Assumptions — every editable number in one place</t>
        </is>
      </c>
    </row>
    <row r="18">
      <c r="B18" s="7" t="inlineStr">
        <is>
          <t xml:space="preserve">   Holding Cost Model — current-state KPIs, cost driver split, and the savings waterfall</t>
        </is>
      </c>
    </row>
    <row r="19">
      <c r="B19" s="7" t="inlineStr">
        <is>
          <t xml:space="preserve">   ABC-XYZ Reference — illustrative segmentation used to talk through where dead stock hides</t>
        </is>
      </c>
    </row>
    <row r="20">
      <c r="B20" s="7" t="inlineStr">
        <is>
          <t xml:space="preserve">   ABC Analysis — working SKU-level classifier with sample data; paste your real export in and it reclassifies automatically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46" customWidth="1" min="4" max="4"/>
  </cols>
  <sheetData>
    <row r="2">
      <c r="B2" s="1" t="inlineStr">
        <is>
          <t>Inputs &amp; Assumptions</t>
        </is>
      </c>
    </row>
    <row r="3">
      <c r="B3" s="2" t="inlineStr">
        <is>
          <t>Edit the yellow cells. Everything on 'Holding Cost Model' updates automatically.</t>
        </is>
      </c>
    </row>
    <row r="5" ht="20" customHeight="1">
      <c r="B5" s="10" t="inlineStr">
        <is>
          <t>Scope</t>
        </is>
      </c>
    </row>
    <row r="6">
      <c r="B6" s="7" t="inlineStr">
        <is>
          <t>Base SKUs</t>
        </is>
      </c>
      <c r="C6" s="11" t="n">
        <v>1100</v>
      </c>
    </row>
    <row r="7">
      <c r="B7" s="7" t="inlineStr">
        <is>
          <t>Variants per SKU</t>
        </is>
      </c>
      <c r="C7" s="11" t="n">
        <v>6</v>
      </c>
    </row>
    <row r="9" ht="20" customHeight="1">
      <c r="B9" s="10" t="inlineStr">
        <is>
          <t>Unit economics &amp; inventory position</t>
        </is>
      </c>
    </row>
    <row r="10">
      <c r="B10" s="7" t="inlineStr">
        <is>
          <t>Avg. unit cost (₹)</t>
        </is>
      </c>
      <c r="C10" s="12" t="n">
        <v>1800</v>
      </c>
    </row>
    <row r="11">
      <c r="B11" s="7" t="inlineStr">
        <is>
          <t>Avg. annual demand per SKU-variant (units)</t>
        </is>
      </c>
      <c r="C11" s="11" t="n">
        <v>850</v>
      </c>
    </row>
    <row r="12">
      <c r="B12" s="7" t="inlineStr">
        <is>
          <t>Current days of supply on hand</t>
        </is>
      </c>
      <c r="C12" s="11" t="n">
        <v>96</v>
      </c>
    </row>
    <row r="13">
      <c r="B13" s="7" t="inlineStr">
        <is>
          <t>Holding cost rate (% of inventory value / yr)</t>
        </is>
      </c>
      <c r="C13" s="13" t="n">
        <v>0.24</v>
      </c>
    </row>
    <row r="15" ht="20" customHeight="1">
      <c r="B15" s="10" t="inlineStr">
        <is>
          <t>Holding cost driver split (must total 100%)</t>
        </is>
      </c>
    </row>
    <row r="16">
      <c r="B16" s="7" t="inlineStr">
        <is>
          <t>Capital cost</t>
        </is>
      </c>
      <c r="C16" s="13" t="n">
        <v>0.46</v>
      </c>
    </row>
    <row r="17">
      <c r="B17" s="7" t="inlineStr">
        <is>
          <t>Storage &amp; handling</t>
        </is>
      </c>
      <c r="C17" s="13" t="n">
        <v>0.19</v>
      </c>
    </row>
    <row r="18">
      <c r="B18" s="7" t="inlineStr">
        <is>
          <t>Risk &amp; obsolescence</t>
        </is>
      </c>
      <c r="C18" s="13" t="n">
        <v>0.27</v>
      </c>
    </row>
    <row r="19">
      <c r="B19" s="7" t="inlineStr">
        <is>
          <t>Service (insurance / tax)</t>
        </is>
      </c>
      <c r="C19" s="13" t="n">
        <v>0.08</v>
      </c>
    </row>
    <row r="20">
      <c r="B20" s="3" t="inlineStr">
        <is>
          <t>Check: total</t>
        </is>
      </c>
      <c r="C20" s="14">
        <f>SUM(C16:C19)</f>
        <v/>
      </c>
      <c r="D20" s="2" t="inlineStr">
        <is>
          <t>Must equal 100.0% — adjust the four splits above if not.</t>
        </is>
      </c>
    </row>
    <row r="22" ht="20" customHeight="1">
      <c r="B22" s="10" t="inlineStr">
        <is>
          <t>Savings levers — % of current holding cost</t>
        </is>
      </c>
    </row>
    <row r="23">
      <c r="B23" s="7" t="inlineStr">
        <is>
          <t>Scenario multiplier</t>
        </is>
      </c>
      <c r="C23" s="15" t="n">
        <v>1</v>
      </c>
    </row>
    <row r="24">
      <c r="B24" s="7" t="inlineStr">
        <is>
          <t>Safety-stock right-sizing (base %)</t>
        </is>
      </c>
      <c r="C24" s="13" t="n">
        <v>0.062</v>
      </c>
      <c r="D24" s="16" t="inlineStr">
        <is>
          <t>Reorder points set from demand variability instead of flat buffer days.</t>
        </is>
      </c>
    </row>
    <row r="25">
      <c r="B25" s="7" t="inlineStr">
        <is>
          <t>Dead / slow-mover liquidation (base %)</t>
        </is>
      </c>
      <c r="C25" s="13" t="n">
        <v>0.07000000000000001</v>
      </c>
      <c r="D25" s="16" t="inlineStr">
        <is>
          <t>Clearing/returning low-value, unpredictable-demand (C-Z/C-Y) inventory.</t>
        </is>
      </c>
    </row>
    <row r="26">
      <c r="B26" s="7" t="inlineStr">
        <is>
          <t>Order-quantity (EOQ) optimization (base %)</t>
        </is>
      </c>
      <c r="C26" s="13" t="n">
        <v>0.032</v>
      </c>
      <c r="D26" s="16" t="inlineStr">
        <is>
          <t>Right-sized lot sizes — carrying cost vs. ordering cost trade-off.</t>
        </is>
      </c>
    </row>
    <row r="27">
      <c r="B27" s="7" t="inlineStr">
        <is>
          <t>Variant rationalization (base %)</t>
        </is>
      </c>
      <c r="C27" s="13" t="n">
        <v>0.021</v>
      </c>
      <c r="D27" s="16" t="inlineStr">
        <is>
          <t>Consolidating low-demand variants that fragment volume.</t>
        </is>
      </c>
    </row>
  </sheetData>
  <mergeCells count="4">
    <mergeCell ref="B9:C9"/>
    <mergeCell ref="B22:C22"/>
    <mergeCell ref="B5:C5"/>
    <mergeCell ref="B15:C15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2">
      <c r="B2" s="1" t="inlineStr">
        <is>
          <t>ABC × XYZ Reference Segmentation</t>
        </is>
      </c>
    </row>
    <row r="3">
      <c r="B3" s="16" t="inlineStr">
        <is>
          <t>Illustrative distribution of inventory value across 6,600 SKU-variants — replace with actuals once demand history is available.</t>
        </is>
      </c>
    </row>
    <row r="5" ht="20" customHeight="1">
      <c r="B5" s="10" t="inlineStr">
        <is>
          <t>Share of total inventory value, by segment</t>
        </is>
      </c>
    </row>
    <row r="6">
      <c r="B6" s="17" t="inlineStr"/>
      <c r="C6" s="18" t="inlineStr">
        <is>
          <t>X — steady demand</t>
        </is>
      </c>
      <c r="D6" s="18" t="inlineStr">
        <is>
          <t>Y — variable demand</t>
        </is>
      </c>
      <c r="E6" s="18" t="inlineStr">
        <is>
          <t>Z — sporadic demand</t>
        </is>
      </c>
    </row>
    <row r="7">
      <c r="B7" s="19" t="inlineStr">
        <is>
          <t>A — high value</t>
        </is>
      </c>
      <c r="C7" s="20" t="n">
        <v>0.42</v>
      </c>
      <c r="D7" s="20" t="n">
        <v>0.12</v>
      </c>
      <c r="E7" s="20" t="n">
        <v>0.03</v>
      </c>
    </row>
    <row r="8">
      <c r="B8" s="19" t="inlineStr">
        <is>
          <t>B — mid value</t>
        </is>
      </c>
      <c r="C8" s="20" t="n">
        <v>0.09</v>
      </c>
      <c r="D8" s="20" t="n">
        <v>0.1</v>
      </c>
      <c r="E8" s="20" t="n">
        <v>0.04</v>
      </c>
    </row>
    <row r="9">
      <c r="B9" s="19" t="inlineStr">
        <is>
          <t>C — low value</t>
        </is>
      </c>
      <c r="C9" s="20" t="n">
        <v>0.03</v>
      </c>
      <c r="D9" s="20" t="n">
        <v>0.06</v>
      </c>
      <c r="E9" s="21" t="n">
        <v>0.11</v>
      </c>
    </row>
    <row r="11">
      <c r="B11" s="16" t="inlineStr">
        <is>
          <t>C-Z (bottom right): low value, sporadic demand — the classic dead/slow-moving stock segment.</t>
        </is>
      </c>
    </row>
  </sheetData>
  <mergeCells count="2">
    <mergeCell ref="B11:E11"/>
    <mergeCell ref="B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15" customWidth="1" min="4" max="4"/>
    <col width="13" customWidth="1" min="5" max="5"/>
    <col width="17" customWidth="1" min="6" max="6"/>
    <col width="8" customWidth="1" min="7" max="7"/>
    <col width="17" customWidth="1" min="8" max="8"/>
    <col width="13" customWidth="1" min="9" max="9"/>
    <col width="8" customWidth="1" min="10" max="10"/>
    <col width="13" customWidth="1" min="12" max="12"/>
    <col width="13" customWidth="1" min="13" max="13"/>
    <col width="13" customWidth="1" min="14" max="14"/>
    <col width="13" customWidth="1" min="15" max="15"/>
  </cols>
  <sheetData>
    <row r="2">
      <c r="B2" s="1" t="inlineStr">
        <is>
          <t>ABC Analysis — SKU-Level Classification</t>
        </is>
      </c>
    </row>
    <row r="3">
      <c r="B3" s="16" t="inlineStr">
        <is>
          <t>A working classifier, not a static illustration. Delete the sample rows below and paste your real SKU export into the same columns — every formula re-ranks and reclassifies automatically.</t>
        </is>
      </c>
    </row>
    <row r="5" ht="20" customHeight="1">
      <c r="B5" s="10" t="inlineStr">
        <is>
          <t>Classification thresholds</t>
        </is>
      </c>
    </row>
    <row r="6">
      <c r="B6" s="7" t="inlineStr">
        <is>
          <t>Class A cutoff (cumulative % of value)</t>
        </is>
      </c>
      <c r="C6" s="13" t="n">
        <v>0.8</v>
      </c>
      <c r="D6" s="2" t="inlineStr">
        <is>
          <t>Everything above the B cutoff falls into Class C.</t>
        </is>
      </c>
    </row>
    <row r="7">
      <c r="B7" s="7" t="inlineStr">
        <is>
          <t>Class B cutoff (cumulative % of value)</t>
        </is>
      </c>
      <c r="C7" s="13" t="n">
        <v>0.95</v>
      </c>
    </row>
    <row r="10">
      <c r="B10" s="22" t="inlineStr">
        <is>
          <t>SAMPLE DATA (rows below) — replace with your SKU-level export; keep the same 5 input columns</t>
        </is>
      </c>
    </row>
    <row r="11">
      <c r="B11" s="23" t="inlineStr">
        <is>
          <t>SKU ID</t>
        </is>
      </c>
      <c r="C11" s="23" t="inlineStr">
        <is>
          <t>Category</t>
        </is>
      </c>
      <c r="D11" s="23" t="inlineStr">
        <is>
          <t>Annual usage (units)</t>
        </is>
      </c>
      <c r="E11" s="23" t="inlineStr">
        <is>
          <t>Unit cost (₹)</t>
        </is>
      </c>
      <c r="F11" s="23" t="inlineStr">
        <is>
          <t>Annual usage value (₹)</t>
        </is>
      </c>
      <c r="G11" s="23" t="inlineStr">
        <is>
          <t>Rank</t>
        </is>
      </c>
      <c r="H11" s="23" t="inlineStr">
        <is>
          <t>Cumulative value (₹)</t>
        </is>
      </c>
      <c r="I11" s="23" t="inlineStr">
        <is>
          <t>Cumulative % of value</t>
        </is>
      </c>
      <c r="J11" s="23" t="inlineStr">
        <is>
          <t>Class</t>
        </is>
      </c>
      <c r="L11" s="23" t="inlineStr">
        <is>
          <t>Rank</t>
        </is>
      </c>
      <c r="M11" s="23" t="inlineStr">
        <is>
          <t>SKU at rank</t>
        </is>
      </c>
      <c r="N11" s="23" t="inlineStr">
        <is>
          <t>Value at rank (₹)</t>
        </is>
      </c>
      <c r="O11" s="23" t="inlineStr">
        <is>
          <t>Cumulative % at rank</t>
        </is>
      </c>
    </row>
    <row r="12">
      <c r="B12" s="24" t="inlineStr">
        <is>
          <t>MS-0001</t>
        </is>
      </c>
      <c r="C12" s="24" t="inlineStr">
        <is>
          <t>Wiring Harness</t>
        </is>
      </c>
      <c r="D12" s="25" t="n">
        <v>43</v>
      </c>
      <c r="E12" s="26" t="n">
        <v>2661</v>
      </c>
      <c r="F12" s="27">
        <f>D12*E12</f>
        <v/>
      </c>
      <c r="G12" s="28">
        <f>RANK(F12,$F$12:$F$71,0)+COUNTIF($F$12:F12,F12)-1</f>
        <v/>
      </c>
      <c r="H12" s="27">
        <f>SUMPRODUCT(($G$12:$G$71&lt;=G12)*$F$12:$F$71)</f>
        <v/>
      </c>
      <c r="I12" s="29">
        <f>H12/SUM($F$12:$F$71)</f>
        <v/>
      </c>
      <c r="J12" s="19">
        <f>IF(I12&lt;=$C$6,"A",IF(I12&lt;=$C$7,"B","C"))</f>
        <v/>
      </c>
      <c r="L12" s="28" t="n">
        <v>1</v>
      </c>
      <c r="M12" s="30">
        <f>INDEX($B$12:$B$71,MATCH(L12,$G$12:$G$71,0))</f>
        <v/>
      </c>
      <c r="N12" s="27">
        <f>INDEX($F$12:$F$71,MATCH(L12,$G$12:$G$71,0))</f>
        <v/>
      </c>
      <c r="O12" s="29">
        <f>INDEX($I$12:$I$71,MATCH(L12,$G$12:$G$71,0))</f>
        <v/>
      </c>
    </row>
    <row r="13">
      <c r="B13" s="31" t="inlineStr">
        <is>
          <t>MS-0002</t>
        </is>
      </c>
      <c r="C13" s="31" t="inlineStr">
        <is>
          <t>Mirror Assemblies</t>
        </is>
      </c>
      <c r="D13" s="32" t="n">
        <v>109</v>
      </c>
      <c r="E13" s="33" t="n">
        <v>1995</v>
      </c>
      <c r="F13" s="34">
        <f>D13*E13</f>
        <v/>
      </c>
      <c r="G13" s="35">
        <f>RANK(F13,$F$12:$F$71,0)+COUNTIF($F$12:F13,F13)-1</f>
        <v/>
      </c>
      <c r="H13" s="34">
        <f>SUMPRODUCT(($G$12:$G$71&lt;=G13)*$F$12:$F$71)</f>
        <v/>
      </c>
      <c r="I13" s="36">
        <f>H13/SUM($F$12:$F$71)</f>
        <v/>
      </c>
      <c r="J13" s="37">
        <f>IF(I13&lt;=$C$6,"A",IF(I13&lt;=$C$7,"B","C"))</f>
        <v/>
      </c>
      <c r="L13" s="28" t="n">
        <v>2</v>
      </c>
      <c r="M13" s="30">
        <f>INDEX($B$12:$B$71,MATCH(L13,$G$12:$G$71,0))</f>
        <v/>
      </c>
      <c r="N13" s="27">
        <f>INDEX($F$12:$F$71,MATCH(L13,$G$12:$G$71,0))</f>
        <v/>
      </c>
      <c r="O13" s="29">
        <f>INDEX($I$12:$I$71,MATCH(L13,$G$12:$G$71,0))</f>
        <v/>
      </c>
    </row>
    <row r="14">
      <c r="B14" s="24" t="inlineStr">
        <is>
          <t>MS-0003</t>
        </is>
      </c>
      <c r="C14" s="24" t="inlineStr">
        <is>
          <t>Polymer &amp; Interior</t>
        </is>
      </c>
      <c r="D14" s="25" t="n">
        <v>27</v>
      </c>
      <c r="E14" s="26" t="n">
        <v>2763</v>
      </c>
      <c r="F14" s="27">
        <f>D14*E14</f>
        <v/>
      </c>
      <c r="G14" s="28">
        <f>RANK(F14,$F$12:$F$71,0)+COUNTIF($F$12:F14,F14)-1</f>
        <v/>
      </c>
      <c r="H14" s="27">
        <f>SUMPRODUCT(($G$12:$G$71&lt;=G14)*$F$12:$F$71)</f>
        <v/>
      </c>
      <c r="I14" s="29">
        <f>H14/SUM($F$12:$F$71)</f>
        <v/>
      </c>
      <c r="J14" s="19">
        <f>IF(I14&lt;=$C$6,"A",IF(I14&lt;=$C$7,"B","C"))</f>
        <v/>
      </c>
      <c r="L14" s="28" t="n">
        <v>3</v>
      </c>
      <c r="M14" s="30">
        <f>INDEX($B$12:$B$71,MATCH(L14,$G$12:$G$71,0))</f>
        <v/>
      </c>
      <c r="N14" s="27">
        <f>INDEX($F$12:$F$71,MATCH(L14,$G$12:$G$71,0))</f>
        <v/>
      </c>
      <c r="O14" s="29">
        <f>INDEX($I$12:$I$71,MATCH(L14,$G$12:$G$71,0))</f>
        <v/>
      </c>
    </row>
    <row r="15">
      <c r="B15" s="31" t="inlineStr">
        <is>
          <t>MS-0004</t>
        </is>
      </c>
      <c r="C15" s="31" t="inlineStr">
        <is>
          <t>Lighting Systems</t>
        </is>
      </c>
      <c r="D15" s="32" t="n">
        <v>287</v>
      </c>
      <c r="E15" s="33" t="n">
        <v>1864</v>
      </c>
      <c r="F15" s="34">
        <f>D15*E15</f>
        <v/>
      </c>
      <c r="G15" s="35">
        <f>RANK(F15,$F$12:$F$71,0)+COUNTIF($F$12:F15,F15)-1</f>
        <v/>
      </c>
      <c r="H15" s="34">
        <f>SUMPRODUCT(($G$12:$G$71&lt;=G15)*$F$12:$F$71)</f>
        <v/>
      </c>
      <c r="I15" s="36">
        <f>H15/SUM($F$12:$F$71)</f>
        <v/>
      </c>
      <c r="J15" s="37">
        <f>IF(I15&lt;=$C$6,"A",IF(I15&lt;=$C$7,"B","C"))</f>
        <v/>
      </c>
      <c r="L15" s="28" t="n">
        <v>4</v>
      </c>
      <c r="M15" s="30">
        <f>INDEX($B$12:$B$71,MATCH(L15,$G$12:$G$71,0))</f>
        <v/>
      </c>
      <c r="N15" s="27">
        <f>INDEX($F$12:$F$71,MATCH(L15,$G$12:$G$71,0))</f>
        <v/>
      </c>
      <c r="O15" s="29">
        <f>INDEX($I$12:$I$71,MATCH(L15,$G$12:$G$71,0))</f>
        <v/>
      </c>
    </row>
    <row r="16">
      <c r="B16" s="24" t="inlineStr">
        <is>
          <t>MS-0005</t>
        </is>
      </c>
      <c r="C16" s="24" t="inlineStr">
        <is>
          <t>Elastomer &amp; Sealing</t>
        </is>
      </c>
      <c r="D16" s="25" t="n">
        <v>150</v>
      </c>
      <c r="E16" s="26" t="n">
        <v>2266</v>
      </c>
      <c r="F16" s="27">
        <f>D16*E16</f>
        <v/>
      </c>
      <c r="G16" s="28">
        <f>RANK(F16,$F$12:$F$71,0)+COUNTIF($F$12:F16,F16)-1</f>
        <v/>
      </c>
      <c r="H16" s="27">
        <f>SUMPRODUCT(($G$12:$G$71&lt;=G16)*$F$12:$F$71)</f>
        <v/>
      </c>
      <c r="I16" s="29">
        <f>H16/SUM($F$12:$F$71)</f>
        <v/>
      </c>
      <c r="J16" s="19">
        <f>IF(I16&lt;=$C$6,"A",IF(I16&lt;=$C$7,"B","C"))</f>
        <v/>
      </c>
      <c r="L16" s="28" t="n">
        <v>5</v>
      </c>
      <c r="M16" s="30">
        <f>INDEX($B$12:$B$71,MATCH(L16,$G$12:$G$71,0))</f>
        <v/>
      </c>
      <c r="N16" s="27">
        <f>INDEX($F$12:$F$71,MATCH(L16,$G$12:$G$71,0))</f>
        <v/>
      </c>
      <c r="O16" s="29">
        <f>INDEX($I$12:$I$71,MATCH(L16,$G$12:$G$71,0))</f>
        <v/>
      </c>
    </row>
    <row r="17">
      <c r="B17" s="31" t="inlineStr">
        <is>
          <t>MS-0006</t>
        </is>
      </c>
      <c r="C17" s="31" t="inlineStr">
        <is>
          <t>Modules &amp; Others</t>
        </is>
      </c>
      <c r="D17" s="32" t="n">
        <v>1396</v>
      </c>
      <c r="E17" s="33" t="n">
        <v>185</v>
      </c>
      <c r="F17" s="34">
        <f>D17*E17</f>
        <v/>
      </c>
      <c r="G17" s="35">
        <f>RANK(F17,$F$12:$F$71,0)+COUNTIF($F$12:F17,F17)-1</f>
        <v/>
      </c>
      <c r="H17" s="34">
        <f>SUMPRODUCT(($G$12:$G$71&lt;=G17)*$F$12:$F$71)</f>
        <v/>
      </c>
      <c r="I17" s="36">
        <f>H17/SUM($F$12:$F$71)</f>
        <v/>
      </c>
      <c r="J17" s="37">
        <f>IF(I17&lt;=$C$6,"A",IF(I17&lt;=$C$7,"B","C"))</f>
        <v/>
      </c>
      <c r="L17" s="28" t="n">
        <v>6</v>
      </c>
      <c r="M17" s="30">
        <f>INDEX($B$12:$B$71,MATCH(L17,$G$12:$G$71,0))</f>
        <v/>
      </c>
      <c r="N17" s="27">
        <f>INDEX($F$12:$F$71,MATCH(L17,$G$12:$G$71,0))</f>
        <v/>
      </c>
      <c r="O17" s="29">
        <f>INDEX($I$12:$I$71,MATCH(L17,$G$12:$G$71,0))</f>
        <v/>
      </c>
    </row>
    <row r="18">
      <c r="B18" s="24" t="inlineStr">
        <is>
          <t>MS-0007</t>
        </is>
      </c>
      <c r="C18" s="24" t="inlineStr">
        <is>
          <t>Wiring Harness</t>
        </is>
      </c>
      <c r="D18" s="25" t="n">
        <v>95</v>
      </c>
      <c r="E18" s="26" t="n">
        <v>760</v>
      </c>
      <c r="F18" s="27">
        <f>D18*E18</f>
        <v/>
      </c>
      <c r="G18" s="28">
        <f>RANK(F18,$F$12:$F$71,0)+COUNTIF($F$12:F18,F18)-1</f>
        <v/>
      </c>
      <c r="H18" s="27">
        <f>SUMPRODUCT(($G$12:$G$71&lt;=G18)*$F$12:$F$71)</f>
        <v/>
      </c>
      <c r="I18" s="29">
        <f>H18/SUM($F$12:$F$71)</f>
        <v/>
      </c>
      <c r="J18" s="19">
        <f>IF(I18&lt;=$C$6,"A",IF(I18&lt;=$C$7,"B","C"))</f>
        <v/>
      </c>
      <c r="L18" s="28" t="n">
        <v>7</v>
      </c>
      <c r="M18" s="30">
        <f>INDEX($B$12:$B$71,MATCH(L18,$G$12:$G$71,0))</f>
        <v/>
      </c>
      <c r="N18" s="27">
        <f>INDEX($F$12:$F$71,MATCH(L18,$G$12:$G$71,0))</f>
        <v/>
      </c>
      <c r="O18" s="29">
        <f>INDEX($I$12:$I$71,MATCH(L18,$G$12:$G$71,0))</f>
        <v/>
      </c>
    </row>
    <row r="19">
      <c r="B19" s="31" t="inlineStr">
        <is>
          <t>MS-0008</t>
        </is>
      </c>
      <c r="C19" s="31" t="inlineStr">
        <is>
          <t>Mirror Assemblies</t>
        </is>
      </c>
      <c r="D19" s="32" t="n">
        <v>71</v>
      </c>
      <c r="E19" s="33" t="n">
        <v>954</v>
      </c>
      <c r="F19" s="34">
        <f>D19*E19</f>
        <v/>
      </c>
      <c r="G19" s="35">
        <f>RANK(F19,$F$12:$F$71,0)+COUNTIF($F$12:F19,F19)-1</f>
        <v/>
      </c>
      <c r="H19" s="34">
        <f>SUMPRODUCT(($G$12:$G$71&lt;=G19)*$F$12:$F$71)</f>
        <v/>
      </c>
      <c r="I19" s="36">
        <f>H19/SUM($F$12:$F$71)</f>
        <v/>
      </c>
      <c r="J19" s="37">
        <f>IF(I19&lt;=$C$6,"A",IF(I19&lt;=$C$7,"B","C"))</f>
        <v/>
      </c>
      <c r="L19" s="28" t="n">
        <v>8</v>
      </c>
      <c r="M19" s="30">
        <f>INDEX($B$12:$B$71,MATCH(L19,$G$12:$G$71,0))</f>
        <v/>
      </c>
      <c r="N19" s="27">
        <f>INDEX($F$12:$F$71,MATCH(L19,$G$12:$G$71,0))</f>
        <v/>
      </c>
      <c r="O19" s="29">
        <f>INDEX($I$12:$I$71,MATCH(L19,$G$12:$G$71,0))</f>
        <v/>
      </c>
    </row>
    <row r="20">
      <c r="B20" s="24" t="inlineStr">
        <is>
          <t>MS-0009</t>
        </is>
      </c>
      <c r="C20" s="24" t="inlineStr">
        <is>
          <t>Polymer &amp; Interior</t>
        </is>
      </c>
      <c r="D20" s="25" t="n">
        <v>473</v>
      </c>
      <c r="E20" s="26" t="n">
        <v>292</v>
      </c>
      <c r="F20" s="27">
        <f>D20*E20</f>
        <v/>
      </c>
      <c r="G20" s="28">
        <f>RANK(F20,$F$12:$F$71,0)+COUNTIF($F$12:F20,F20)-1</f>
        <v/>
      </c>
      <c r="H20" s="27">
        <f>SUMPRODUCT(($G$12:$G$71&lt;=G20)*$F$12:$F$71)</f>
        <v/>
      </c>
      <c r="I20" s="29">
        <f>H20/SUM($F$12:$F$71)</f>
        <v/>
      </c>
      <c r="J20" s="19">
        <f>IF(I20&lt;=$C$6,"A",IF(I20&lt;=$C$7,"B","C"))</f>
        <v/>
      </c>
      <c r="L20" s="28" t="n">
        <v>9</v>
      </c>
      <c r="M20" s="30">
        <f>INDEX($B$12:$B$71,MATCH(L20,$G$12:$G$71,0))</f>
        <v/>
      </c>
      <c r="N20" s="27">
        <f>INDEX($F$12:$F$71,MATCH(L20,$G$12:$G$71,0))</f>
        <v/>
      </c>
      <c r="O20" s="29">
        <f>INDEX($I$12:$I$71,MATCH(L20,$G$12:$G$71,0))</f>
        <v/>
      </c>
    </row>
    <row r="21">
      <c r="B21" s="31" t="inlineStr">
        <is>
          <t>MS-0010</t>
        </is>
      </c>
      <c r="C21" s="31" t="inlineStr">
        <is>
          <t>Lighting Systems</t>
        </is>
      </c>
      <c r="D21" s="32" t="n">
        <v>355</v>
      </c>
      <c r="E21" s="33" t="n">
        <v>776</v>
      </c>
      <c r="F21" s="34">
        <f>D21*E21</f>
        <v/>
      </c>
      <c r="G21" s="35">
        <f>RANK(F21,$F$12:$F$71,0)+COUNTIF($F$12:F21,F21)-1</f>
        <v/>
      </c>
      <c r="H21" s="34">
        <f>SUMPRODUCT(($G$12:$G$71&lt;=G21)*$F$12:$F$71)</f>
        <v/>
      </c>
      <c r="I21" s="36">
        <f>H21/SUM($F$12:$F$71)</f>
        <v/>
      </c>
      <c r="J21" s="37">
        <f>IF(I21&lt;=$C$6,"A",IF(I21&lt;=$C$7,"B","C"))</f>
        <v/>
      </c>
      <c r="L21" s="28" t="n">
        <v>10</v>
      </c>
      <c r="M21" s="30">
        <f>INDEX($B$12:$B$71,MATCH(L21,$G$12:$G$71,0))</f>
        <v/>
      </c>
      <c r="N21" s="27">
        <f>INDEX($F$12:$F$71,MATCH(L21,$G$12:$G$71,0))</f>
        <v/>
      </c>
      <c r="O21" s="29">
        <f>INDEX($I$12:$I$71,MATCH(L21,$G$12:$G$71,0))</f>
        <v/>
      </c>
    </row>
    <row r="22">
      <c r="B22" s="24" t="inlineStr">
        <is>
          <t>MS-0011</t>
        </is>
      </c>
      <c r="C22" s="24" t="inlineStr">
        <is>
          <t>Elastomer &amp; Sealing</t>
        </is>
      </c>
      <c r="D22" s="25" t="n">
        <v>1888</v>
      </c>
      <c r="E22" s="26" t="n">
        <v>359</v>
      </c>
      <c r="F22" s="27">
        <f>D22*E22</f>
        <v/>
      </c>
      <c r="G22" s="28">
        <f>RANK(F22,$F$12:$F$71,0)+COUNTIF($F$12:F22,F22)-1</f>
        <v/>
      </c>
      <c r="H22" s="27">
        <f>SUMPRODUCT(($G$12:$G$71&lt;=G22)*$F$12:$F$71)</f>
        <v/>
      </c>
      <c r="I22" s="29">
        <f>H22/SUM($F$12:$F$71)</f>
        <v/>
      </c>
      <c r="J22" s="19">
        <f>IF(I22&lt;=$C$6,"A",IF(I22&lt;=$C$7,"B","C"))</f>
        <v/>
      </c>
      <c r="L22" s="28" t="n">
        <v>11</v>
      </c>
      <c r="M22" s="30">
        <f>INDEX($B$12:$B$71,MATCH(L22,$G$12:$G$71,0))</f>
        <v/>
      </c>
      <c r="N22" s="27">
        <f>INDEX($F$12:$F$71,MATCH(L22,$G$12:$G$71,0))</f>
        <v/>
      </c>
      <c r="O22" s="29">
        <f>INDEX($I$12:$I$71,MATCH(L22,$G$12:$G$71,0))</f>
        <v/>
      </c>
    </row>
    <row r="23">
      <c r="B23" s="31" t="inlineStr">
        <is>
          <t>MS-0012</t>
        </is>
      </c>
      <c r="C23" s="31" t="inlineStr">
        <is>
          <t>Modules &amp; Others</t>
        </is>
      </c>
      <c r="D23" s="32" t="n">
        <v>135</v>
      </c>
      <c r="E23" s="33" t="n">
        <v>918</v>
      </c>
      <c r="F23" s="34">
        <f>D23*E23</f>
        <v/>
      </c>
      <c r="G23" s="35">
        <f>RANK(F23,$F$12:$F$71,0)+COUNTIF($F$12:F23,F23)-1</f>
        <v/>
      </c>
      <c r="H23" s="34">
        <f>SUMPRODUCT(($G$12:$G$71&lt;=G23)*$F$12:$F$71)</f>
        <v/>
      </c>
      <c r="I23" s="36">
        <f>H23/SUM($F$12:$F$71)</f>
        <v/>
      </c>
      <c r="J23" s="37">
        <f>IF(I23&lt;=$C$6,"A",IF(I23&lt;=$C$7,"B","C"))</f>
        <v/>
      </c>
      <c r="L23" s="28" t="n">
        <v>12</v>
      </c>
      <c r="M23" s="30">
        <f>INDEX($B$12:$B$71,MATCH(L23,$G$12:$G$71,0))</f>
        <v/>
      </c>
      <c r="N23" s="27">
        <f>INDEX($F$12:$F$71,MATCH(L23,$G$12:$G$71,0))</f>
        <v/>
      </c>
      <c r="O23" s="29">
        <f>INDEX($I$12:$I$71,MATCH(L23,$G$12:$G$71,0))</f>
        <v/>
      </c>
    </row>
    <row r="24">
      <c r="B24" s="24" t="inlineStr">
        <is>
          <t>MS-0013</t>
        </is>
      </c>
      <c r="C24" s="24" t="inlineStr">
        <is>
          <t>Wiring Harness</t>
        </is>
      </c>
      <c r="D24" s="25" t="n">
        <v>73</v>
      </c>
      <c r="E24" s="26" t="n">
        <v>2049</v>
      </c>
      <c r="F24" s="27">
        <f>D24*E24</f>
        <v/>
      </c>
      <c r="G24" s="28">
        <f>RANK(F24,$F$12:$F$71,0)+COUNTIF($F$12:F24,F24)-1</f>
        <v/>
      </c>
      <c r="H24" s="27">
        <f>SUMPRODUCT(($G$12:$G$71&lt;=G24)*$F$12:$F$71)</f>
        <v/>
      </c>
      <c r="I24" s="29">
        <f>H24/SUM($F$12:$F$71)</f>
        <v/>
      </c>
      <c r="J24" s="19">
        <f>IF(I24&lt;=$C$6,"A",IF(I24&lt;=$C$7,"B","C"))</f>
        <v/>
      </c>
      <c r="L24" s="28" t="n">
        <v>13</v>
      </c>
      <c r="M24" s="30">
        <f>INDEX($B$12:$B$71,MATCH(L24,$G$12:$G$71,0))</f>
        <v/>
      </c>
      <c r="N24" s="27">
        <f>INDEX($F$12:$F$71,MATCH(L24,$G$12:$G$71,0))</f>
        <v/>
      </c>
      <c r="O24" s="29">
        <f>INDEX($I$12:$I$71,MATCH(L24,$G$12:$G$71,0))</f>
        <v/>
      </c>
    </row>
    <row r="25">
      <c r="B25" s="31" t="inlineStr">
        <is>
          <t>MS-0014</t>
        </is>
      </c>
      <c r="C25" s="31" t="inlineStr">
        <is>
          <t>Mirror Assemblies</t>
        </is>
      </c>
      <c r="D25" s="32" t="n">
        <v>78</v>
      </c>
      <c r="E25" s="33" t="n">
        <v>1193</v>
      </c>
      <c r="F25" s="34">
        <f>D25*E25</f>
        <v/>
      </c>
      <c r="G25" s="35">
        <f>RANK(F25,$F$12:$F$71,0)+COUNTIF($F$12:F25,F25)-1</f>
        <v/>
      </c>
      <c r="H25" s="34">
        <f>SUMPRODUCT(($G$12:$G$71&lt;=G25)*$F$12:$F$71)</f>
        <v/>
      </c>
      <c r="I25" s="36">
        <f>H25/SUM($F$12:$F$71)</f>
        <v/>
      </c>
      <c r="J25" s="37">
        <f>IF(I25&lt;=$C$6,"A",IF(I25&lt;=$C$7,"B","C"))</f>
        <v/>
      </c>
      <c r="L25" s="28" t="n">
        <v>14</v>
      </c>
      <c r="M25" s="30">
        <f>INDEX($B$12:$B$71,MATCH(L25,$G$12:$G$71,0))</f>
        <v/>
      </c>
      <c r="N25" s="27">
        <f>INDEX($F$12:$F$71,MATCH(L25,$G$12:$G$71,0))</f>
        <v/>
      </c>
      <c r="O25" s="29">
        <f>INDEX($I$12:$I$71,MATCH(L25,$G$12:$G$71,0))</f>
        <v/>
      </c>
    </row>
    <row r="26">
      <c r="B26" s="24" t="inlineStr">
        <is>
          <t>MS-0015</t>
        </is>
      </c>
      <c r="C26" s="24" t="inlineStr">
        <is>
          <t>Polymer &amp; Interior</t>
        </is>
      </c>
      <c r="D26" s="25" t="n">
        <v>129</v>
      </c>
      <c r="E26" s="26" t="n">
        <v>1210</v>
      </c>
      <c r="F26" s="27">
        <f>D26*E26</f>
        <v/>
      </c>
      <c r="G26" s="28">
        <f>RANK(F26,$F$12:$F$71,0)+COUNTIF($F$12:F26,F26)-1</f>
        <v/>
      </c>
      <c r="H26" s="27">
        <f>SUMPRODUCT(($G$12:$G$71&lt;=G26)*$F$12:$F$71)</f>
        <v/>
      </c>
      <c r="I26" s="29">
        <f>H26/SUM($F$12:$F$71)</f>
        <v/>
      </c>
      <c r="J26" s="19">
        <f>IF(I26&lt;=$C$6,"A",IF(I26&lt;=$C$7,"B","C"))</f>
        <v/>
      </c>
      <c r="L26" s="28" t="n">
        <v>15</v>
      </c>
      <c r="M26" s="30">
        <f>INDEX($B$12:$B$71,MATCH(L26,$G$12:$G$71,0))</f>
        <v/>
      </c>
      <c r="N26" s="27">
        <f>INDEX($F$12:$F$71,MATCH(L26,$G$12:$G$71,0))</f>
        <v/>
      </c>
      <c r="O26" s="29">
        <f>INDEX($I$12:$I$71,MATCH(L26,$G$12:$G$71,0))</f>
        <v/>
      </c>
    </row>
    <row r="27">
      <c r="B27" s="31" t="inlineStr">
        <is>
          <t>MS-0016</t>
        </is>
      </c>
      <c r="C27" s="31" t="inlineStr">
        <is>
          <t>Lighting Systems</t>
        </is>
      </c>
      <c r="D27" s="32" t="n">
        <v>119</v>
      </c>
      <c r="E27" s="33" t="n">
        <v>702</v>
      </c>
      <c r="F27" s="34">
        <f>D27*E27</f>
        <v/>
      </c>
      <c r="G27" s="35">
        <f>RANK(F27,$F$12:$F$71,0)+COUNTIF($F$12:F27,F27)-1</f>
        <v/>
      </c>
      <c r="H27" s="34">
        <f>SUMPRODUCT(($G$12:$G$71&lt;=G27)*$F$12:$F$71)</f>
        <v/>
      </c>
      <c r="I27" s="36">
        <f>H27/SUM($F$12:$F$71)</f>
        <v/>
      </c>
      <c r="J27" s="37">
        <f>IF(I27&lt;=$C$6,"A",IF(I27&lt;=$C$7,"B","C"))</f>
        <v/>
      </c>
      <c r="L27" s="28" t="n">
        <v>16</v>
      </c>
      <c r="M27" s="30">
        <f>INDEX($B$12:$B$71,MATCH(L27,$G$12:$G$71,0))</f>
        <v/>
      </c>
      <c r="N27" s="27">
        <f>INDEX($F$12:$F$71,MATCH(L27,$G$12:$G$71,0))</f>
        <v/>
      </c>
      <c r="O27" s="29">
        <f>INDEX($I$12:$I$71,MATCH(L27,$G$12:$G$71,0))</f>
        <v/>
      </c>
    </row>
    <row r="28">
      <c r="B28" s="24" t="inlineStr">
        <is>
          <t>MS-0017</t>
        </is>
      </c>
      <c r="C28" s="24" t="inlineStr">
        <is>
          <t>Elastomer &amp; Sealing</t>
        </is>
      </c>
      <c r="D28" s="25" t="n">
        <v>2523</v>
      </c>
      <c r="E28" s="26" t="n">
        <v>884</v>
      </c>
      <c r="F28" s="27">
        <f>D28*E28</f>
        <v/>
      </c>
      <c r="G28" s="28">
        <f>RANK(F28,$F$12:$F$71,0)+COUNTIF($F$12:F28,F28)-1</f>
        <v/>
      </c>
      <c r="H28" s="27">
        <f>SUMPRODUCT(($G$12:$G$71&lt;=G28)*$F$12:$F$71)</f>
        <v/>
      </c>
      <c r="I28" s="29">
        <f>H28/SUM($F$12:$F$71)</f>
        <v/>
      </c>
      <c r="J28" s="19">
        <f>IF(I28&lt;=$C$6,"A",IF(I28&lt;=$C$7,"B","C"))</f>
        <v/>
      </c>
      <c r="L28" s="28" t="n">
        <v>17</v>
      </c>
      <c r="M28" s="30">
        <f>INDEX($B$12:$B$71,MATCH(L28,$G$12:$G$71,0))</f>
        <v/>
      </c>
      <c r="N28" s="27">
        <f>INDEX($F$12:$F$71,MATCH(L28,$G$12:$G$71,0))</f>
        <v/>
      </c>
      <c r="O28" s="29">
        <f>INDEX($I$12:$I$71,MATCH(L28,$G$12:$G$71,0))</f>
        <v/>
      </c>
    </row>
    <row r="29">
      <c r="B29" s="31" t="inlineStr">
        <is>
          <t>MS-0018</t>
        </is>
      </c>
      <c r="C29" s="31" t="inlineStr">
        <is>
          <t>Modules &amp; Others</t>
        </is>
      </c>
      <c r="D29" s="32" t="n">
        <v>81</v>
      </c>
      <c r="E29" s="33" t="n">
        <v>3000</v>
      </c>
      <c r="F29" s="34">
        <f>D29*E29</f>
        <v/>
      </c>
      <c r="G29" s="35">
        <f>RANK(F29,$F$12:$F$71,0)+COUNTIF($F$12:F29,F29)-1</f>
        <v/>
      </c>
      <c r="H29" s="34">
        <f>SUMPRODUCT(($G$12:$G$71&lt;=G29)*$F$12:$F$71)</f>
        <v/>
      </c>
      <c r="I29" s="36">
        <f>H29/SUM($F$12:$F$71)</f>
        <v/>
      </c>
      <c r="J29" s="37">
        <f>IF(I29&lt;=$C$6,"A",IF(I29&lt;=$C$7,"B","C"))</f>
        <v/>
      </c>
      <c r="L29" s="28" t="n">
        <v>18</v>
      </c>
      <c r="M29" s="30">
        <f>INDEX($B$12:$B$71,MATCH(L29,$G$12:$G$71,0))</f>
        <v/>
      </c>
      <c r="N29" s="27">
        <f>INDEX($F$12:$F$71,MATCH(L29,$G$12:$G$71,0))</f>
        <v/>
      </c>
      <c r="O29" s="29">
        <f>INDEX($I$12:$I$71,MATCH(L29,$G$12:$G$71,0))</f>
        <v/>
      </c>
    </row>
    <row r="30">
      <c r="B30" s="24" t="inlineStr">
        <is>
          <t>MS-0019</t>
        </is>
      </c>
      <c r="C30" s="24" t="inlineStr">
        <is>
          <t>Wiring Harness</t>
        </is>
      </c>
      <c r="D30" s="25" t="n">
        <v>39</v>
      </c>
      <c r="E30" s="26" t="n">
        <v>2088</v>
      </c>
      <c r="F30" s="27">
        <f>D30*E30</f>
        <v/>
      </c>
      <c r="G30" s="28">
        <f>RANK(F30,$F$12:$F$71,0)+COUNTIF($F$12:F30,F30)-1</f>
        <v/>
      </c>
      <c r="H30" s="27">
        <f>SUMPRODUCT(($G$12:$G$71&lt;=G30)*$F$12:$F$71)</f>
        <v/>
      </c>
      <c r="I30" s="29">
        <f>H30/SUM($F$12:$F$71)</f>
        <v/>
      </c>
      <c r="J30" s="19">
        <f>IF(I30&lt;=$C$6,"A",IF(I30&lt;=$C$7,"B","C"))</f>
        <v/>
      </c>
      <c r="L30" s="28" t="n">
        <v>19</v>
      </c>
      <c r="M30" s="30">
        <f>INDEX($B$12:$B$71,MATCH(L30,$G$12:$G$71,0))</f>
        <v/>
      </c>
      <c r="N30" s="27">
        <f>INDEX($F$12:$F$71,MATCH(L30,$G$12:$G$71,0))</f>
        <v/>
      </c>
      <c r="O30" s="29">
        <f>INDEX($I$12:$I$71,MATCH(L30,$G$12:$G$71,0))</f>
        <v/>
      </c>
    </row>
    <row r="31">
      <c r="B31" s="31" t="inlineStr">
        <is>
          <t>MS-0020</t>
        </is>
      </c>
      <c r="C31" s="31" t="inlineStr">
        <is>
          <t>Mirror Assemblies</t>
        </is>
      </c>
      <c r="D31" s="32" t="n">
        <v>849</v>
      </c>
      <c r="E31" s="33" t="n">
        <v>1965</v>
      </c>
      <c r="F31" s="34">
        <f>D31*E31</f>
        <v/>
      </c>
      <c r="G31" s="35">
        <f>RANK(F31,$F$12:$F$71,0)+COUNTIF($F$12:F31,F31)-1</f>
        <v/>
      </c>
      <c r="H31" s="34">
        <f>SUMPRODUCT(($G$12:$G$71&lt;=G31)*$F$12:$F$71)</f>
        <v/>
      </c>
      <c r="I31" s="36">
        <f>H31/SUM($F$12:$F$71)</f>
        <v/>
      </c>
      <c r="J31" s="37">
        <f>IF(I31&lt;=$C$6,"A",IF(I31&lt;=$C$7,"B","C"))</f>
        <v/>
      </c>
      <c r="L31" s="28" t="n">
        <v>20</v>
      </c>
      <c r="M31" s="30">
        <f>INDEX($B$12:$B$71,MATCH(L31,$G$12:$G$71,0))</f>
        <v/>
      </c>
      <c r="N31" s="27">
        <f>INDEX($F$12:$F$71,MATCH(L31,$G$12:$G$71,0))</f>
        <v/>
      </c>
      <c r="O31" s="29">
        <f>INDEX($I$12:$I$71,MATCH(L31,$G$12:$G$71,0))</f>
        <v/>
      </c>
    </row>
    <row r="32">
      <c r="B32" s="24" t="inlineStr">
        <is>
          <t>MS-0021</t>
        </is>
      </c>
      <c r="C32" s="24" t="inlineStr">
        <is>
          <t>Polymer &amp; Interior</t>
        </is>
      </c>
      <c r="D32" s="25" t="n">
        <v>280</v>
      </c>
      <c r="E32" s="26" t="n">
        <v>581</v>
      </c>
      <c r="F32" s="27">
        <f>D32*E32</f>
        <v/>
      </c>
      <c r="G32" s="28">
        <f>RANK(F32,$F$12:$F$71,0)+COUNTIF($F$12:F32,F32)-1</f>
        <v/>
      </c>
      <c r="H32" s="27">
        <f>SUMPRODUCT(($G$12:$G$71&lt;=G32)*$F$12:$F$71)</f>
        <v/>
      </c>
      <c r="I32" s="29">
        <f>H32/SUM($F$12:$F$71)</f>
        <v/>
      </c>
      <c r="J32" s="19">
        <f>IF(I32&lt;=$C$6,"A",IF(I32&lt;=$C$7,"B","C"))</f>
        <v/>
      </c>
      <c r="L32" s="28" t="n">
        <v>21</v>
      </c>
      <c r="M32" s="30">
        <f>INDEX($B$12:$B$71,MATCH(L32,$G$12:$G$71,0))</f>
        <v/>
      </c>
      <c r="N32" s="27">
        <f>INDEX($F$12:$F$71,MATCH(L32,$G$12:$G$71,0))</f>
        <v/>
      </c>
      <c r="O32" s="29">
        <f>INDEX($I$12:$I$71,MATCH(L32,$G$12:$G$71,0))</f>
        <v/>
      </c>
    </row>
    <row r="33">
      <c r="B33" s="31" t="inlineStr">
        <is>
          <t>MS-0022</t>
        </is>
      </c>
      <c r="C33" s="31" t="inlineStr">
        <is>
          <t>Lighting Systems</t>
        </is>
      </c>
      <c r="D33" s="32" t="n">
        <v>255</v>
      </c>
      <c r="E33" s="33" t="n">
        <v>2344</v>
      </c>
      <c r="F33" s="34">
        <f>D33*E33</f>
        <v/>
      </c>
      <c r="G33" s="35">
        <f>RANK(F33,$F$12:$F$71,0)+COUNTIF($F$12:F33,F33)-1</f>
        <v/>
      </c>
      <c r="H33" s="34">
        <f>SUMPRODUCT(($G$12:$G$71&lt;=G33)*$F$12:$F$71)</f>
        <v/>
      </c>
      <c r="I33" s="36">
        <f>H33/SUM($F$12:$F$71)</f>
        <v/>
      </c>
      <c r="J33" s="37">
        <f>IF(I33&lt;=$C$6,"A",IF(I33&lt;=$C$7,"B","C"))</f>
        <v/>
      </c>
      <c r="L33" s="28" t="n">
        <v>22</v>
      </c>
      <c r="M33" s="30">
        <f>INDEX($B$12:$B$71,MATCH(L33,$G$12:$G$71,0))</f>
        <v/>
      </c>
      <c r="N33" s="27">
        <f>INDEX($F$12:$F$71,MATCH(L33,$G$12:$G$71,0))</f>
        <v/>
      </c>
      <c r="O33" s="29">
        <f>INDEX($I$12:$I$71,MATCH(L33,$G$12:$G$71,0))</f>
        <v/>
      </c>
    </row>
    <row r="34">
      <c r="B34" s="24" t="inlineStr">
        <is>
          <t>MS-0023</t>
        </is>
      </c>
      <c r="C34" s="24" t="inlineStr">
        <is>
          <t>Elastomer &amp; Sealing</t>
        </is>
      </c>
      <c r="D34" s="25" t="n">
        <v>119</v>
      </c>
      <c r="E34" s="26" t="n">
        <v>556</v>
      </c>
      <c r="F34" s="27">
        <f>D34*E34</f>
        <v/>
      </c>
      <c r="G34" s="28">
        <f>RANK(F34,$F$12:$F$71,0)+COUNTIF($F$12:F34,F34)-1</f>
        <v/>
      </c>
      <c r="H34" s="27">
        <f>SUMPRODUCT(($G$12:$G$71&lt;=G34)*$F$12:$F$71)</f>
        <v/>
      </c>
      <c r="I34" s="29">
        <f>H34/SUM($F$12:$F$71)</f>
        <v/>
      </c>
      <c r="J34" s="19">
        <f>IF(I34&lt;=$C$6,"A",IF(I34&lt;=$C$7,"B","C"))</f>
        <v/>
      </c>
      <c r="L34" s="28" t="n">
        <v>23</v>
      </c>
      <c r="M34" s="30">
        <f>INDEX($B$12:$B$71,MATCH(L34,$G$12:$G$71,0))</f>
        <v/>
      </c>
      <c r="N34" s="27">
        <f>INDEX($F$12:$F$71,MATCH(L34,$G$12:$G$71,0))</f>
        <v/>
      </c>
      <c r="O34" s="29">
        <f>INDEX($I$12:$I$71,MATCH(L34,$G$12:$G$71,0))</f>
        <v/>
      </c>
    </row>
    <row r="35">
      <c r="B35" s="31" t="inlineStr">
        <is>
          <t>MS-0024</t>
        </is>
      </c>
      <c r="C35" s="31" t="inlineStr">
        <is>
          <t>Modules &amp; Others</t>
        </is>
      </c>
      <c r="D35" s="32" t="n">
        <v>185</v>
      </c>
      <c r="E35" s="33" t="n">
        <v>1239</v>
      </c>
      <c r="F35" s="34">
        <f>D35*E35</f>
        <v/>
      </c>
      <c r="G35" s="35">
        <f>RANK(F35,$F$12:$F$71,0)+COUNTIF($F$12:F35,F35)-1</f>
        <v/>
      </c>
      <c r="H35" s="34">
        <f>SUMPRODUCT(($G$12:$G$71&lt;=G35)*$F$12:$F$71)</f>
        <v/>
      </c>
      <c r="I35" s="36">
        <f>H35/SUM($F$12:$F$71)</f>
        <v/>
      </c>
      <c r="J35" s="37">
        <f>IF(I35&lt;=$C$6,"A",IF(I35&lt;=$C$7,"B","C"))</f>
        <v/>
      </c>
      <c r="L35" s="28" t="n">
        <v>24</v>
      </c>
      <c r="M35" s="30">
        <f>INDEX($B$12:$B$71,MATCH(L35,$G$12:$G$71,0))</f>
        <v/>
      </c>
      <c r="N35" s="27">
        <f>INDEX($F$12:$F$71,MATCH(L35,$G$12:$G$71,0))</f>
        <v/>
      </c>
      <c r="O35" s="29">
        <f>INDEX($I$12:$I$71,MATCH(L35,$G$12:$G$71,0))</f>
        <v/>
      </c>
    </row>
    <row r="36">
      <c r="B36" s="24" t="inlineStr">
        <is>
          <t>MS-0025</t>
        </is>
      </c>
      <c r="C36" s="24" t="inlineStr">
        <is>
          <t>Wiring Harness</t>
        </is>
      </c>
      <c r="D36" s="25" t="n">
        <v>33</v>
      </c>
      <c r="E36" s="26" t="n">
        <v>3167</v>
      </c>
      <c r="F36" s="27">
        <f>D36*E36</f>
        <v/>
      </c>
      <c r="G36" s="28">
        <f>RANK(F36,$F$12:$F$71,0)+COUNTIF($F$12:F36,F36)-1</f>
        <v/>
      </c>
      <c r="H36" s="27">
        <f>SUMPRODUCT(($G$12:$G$71&lt;=G36)*$F$12:$F$71)</f>
        <v/>
      </c>
      <c r="I36" s="29">
        <f>H36/SUM($F$12:$F$71)</f>
        <v/>
      </c>
      <c r="J36" s="19">
        <f>IF(I36&lt;=$C$6,"A",IF(I36&lt;=$C$7,"B","C"))</f>
        <v/>
      </c>
      <c r="L36" s="28" t="n">
        <v>25</v>
      </c>
      <c r="M36" s="30">
        <f>INDEX($B$12:$B$71,MATCH(L36,$G$12:$G$71,0))</f>
        <v/>
      </c>
      <c r="N36" s="27">
        <f>INDEX($F$12:$F$71,MATCH(L36,$G$12:$G$71,0))</f>
        <v/>
      </c>
      <c r="O36" s="29">
        <f>INDEX($I$12:$I$71,MATCH(L36,$G$12:$G$71,0))</f>
        <v/>
      </c>
    </row>
    <row r="37">
      <c r="B37" s="31" t="inlineStr">
        <is>
          <t>MS-0026</t>
        </is>
      </c>
      <c r="C37" s="31" t="inlineStr">
        <is>
          <t>Mirror Assemblies</t>
        </is>
      </c>
      <c r="D37" s="32" t="n">
        <v>100</v>
      </c>
      <c r="E37" s="33" t="n">
        <v>2062</v>
      </c>
      <c r="F37" s="34">
        <f>D37*E37</f>
        <v/>
      </c>
      <c r="G37" s="35">
        <f>RANK(F37,$F$12:$F$71,0)+COUNTIF($F$12:F37,F37)-1</f>
        <v/>
      </c>
      <c r="H37" s="34">
        <f>SUMPRODUCT(($G$12:$G$71&lt;=G37)*$F$12:$F$71)</f>
        <v/>
      </c>
      <c r="I37" s="36">
        <f>H37/SUM($F$12:$F$71)</f>
        <v/>
      </c>
      <c r="J37" s="37">
        <f>IF(I37&lt;=$C$6,"A",IF(I37&lt;=$C$7,"B","C"))</f>
        <v/>
      </c>
      <c r="L37" s="28" t="n">
        <v>26</v>
      </c>
      <c r="M37" s="30">
        <f>INDEX($B$12:$B$71,MATCH(L37,$G$12:$G$71,0))</f>
        <v/>
      </c>
      <c r="N37" s="27">
        <f>INDEX($F$12:$F$71,MATCH(L37,$G$12:$G$71,0))</f>
        <v/>
      </c>
      <c r="O37" s="29">
        <f>INDEX($I$12:$I$71,MATCH(L37,$G$12:$G$71,0))</f>
        <v/>
      </c>
    </row>
    <row r="38">
      <c r="B38" s="24" t="inlineStr">
        <is>
          <t>MS-0027</t>
        </is>
      </c>
      <c r="C38" s="24" t="inlineStr">
        <is>
          <t>Polymer &amp; Interior</t>
        </is>
      </c>
      <c r="D38" s="25" t="n">
        <v>7512</v>
      </c>
      <c r="E38" s="26" t="n">
        <v>1800</v>
      </c>
      <c r="F38" s="27">
        <f>D38*E38</f>
        <v/>
      </c>
      <c r="G38" s="28">
        <f>RANK(F38,$F$12:$F$71,0)+COUNTIF($F$12:F38,F38)-1</f>
        <v/>
      </c>
      <c r="H38" s="27">
        <f>SUMPRODUCT(($G$12:$G$71&lt;=G38)*$F$12:$F$71)</f>
        <v/>
      </c>
      <c r="I38" s="29">
        <f>H38/SUM($F$12:$F$71)</f>
        <v/>
      </c>
      <c r="J38" s="19">
        <f>IF(I38&lt;=$C$6,"A",IF(I38&lt;=$C$7,"B","C"))</f>
        <v/>
      </c>
      <c r="L38" s="28" t="n">
        <v>27</v>
      </c>
      <c r="M38" s="30">
        <f>INDEX($B$12:$B$71,MATCH(L38,$G$12:$G$71,0))</f>
        <v/>
      </c>
      <c r="N38" s="27">
        <f>INDEX($F$12:$F$71,MATCH(L38,$G$12:$G$71,0))</f>
        <v/>
      </c>
      <c r="O38" s="29">
        <f>INDEX($I$12:$I$71,MATCH(L38,$G$12:$G$71,0))</f>
        <v/>
      </c>
    </row>
    <row r="39">
      <c r="B39" s="31" t="inlineStr">
        <is>
          <t>MS-0028</t>
        </is>
      </c>
      <c r="C39" s="31" t="inlineStr">
        <is>
          <t>Lighting Systems</t>
        </is>
      </c>
      <c r="D39" s="32" t="n">
        <v>44</v>
      </c>
      <c r="E39" s="33" t="n">
        <v>2203</v>
      </c>
      <c r="F39" s="34">
        <f>D39*E39</f>
        <v/>
      </c>
      <c r="G39" s="35">
        <f>RANK(F39,$F$12:$F$71,0)+COUNTIF($F$12:F39,F39)-1</f>
        <v/>
      </c>
      <c r="H39" s="34">
        <f>SUMPRODUCT(($G$12:$G$71&lt;=G39)*$F$12:$F$71)</f>
        <v/>
      </c>
      <c r="I39" s="36">
        <f>H39/SUM($F$12:$F$71)</f>
        <v/>
      </c>
      <c r="J39" s="37">
        <f>IF(I39&lt;=$C$6,"A",IF(I39&lt;=$C$7,"B","C"))</f>
        <v/>
      </c>
      <c r="L39" s="28" t="n">
        <v>28</v>
      </c>
      <c r="M39" s="30">
        <f>INDEX($B$12:$B$71,MATCH(L39,$G$12:$G$71,0))</f>
        <v/>
      </c>
      <c r="N39" s="27">
        <f>INDEX($F$12:$F$71,MATCH(L39,$G$12:$G$71,0))</f>
        <v/>
      </c>
      <c r="O39" s="29">
        <f>INDEX($I$12:$I$71,MATCH(L39,$G$12:$G$71,0))</f>
        <v/>
      </c>
    </row>
    <row r="40">
      <c r="B40" s="24" t="inlineStr">
        <is>
          <t>MS-0029</t>
        </is>
      </c>
      <c r="C40" s="24" t="inlineStr">
        <is>
          <t>Elastomer &amp; Sealing</t>
        </is>
      </c>
      <c r="D40" s="25" t="n">
        <v>72</v>
      </c>
      <c r="E40" s="26" t="n">
        <v>2703</v>
      </c>
      <c r="F40" s="27">
        <f>D40*E40</f>
        <v/>
      </c>
      <c r="G40" s="28">
        <f>RANK(F40,$F$12:$F$71,0)+COUNTIF($F$12:F40,F40)-1</f>
        <v/>
      </c>
      <c r="H40" s="27">
        <f>SUMPRODUCT(($G$12:$G$71&lt;=G40)*$F$12:$F$71)</f>
        <v/>
      </c>
      <c r="I40" s="29">
        <f>H40/SUM($F$12:$F$71)</f>
        <v/>
      </c>
      <c r="J40" s="19">
        <f>IF(I40&lt;=$C$6,"A",IF(I40&lt;=$C$7,"B","C"))</f>
        <v/>
      </c>
      <c r="L40" s="28" t="n">
        <v>29</v>
      </c>
      <c r="M40" s="30">
        <f>INDEX($B$12:$B$71,MATCH(L40,$G$12:$G$71,0))</f>
        <v/>
      </c>
      <c r="N40" s="27">
        <f>INDEX($F$12:$F$71,MATCH(L40,$G$12:$G$71,0))</f>
        <v/>
      </c>
      <c r="O40" s="29">
        <f>INDEX($I$12:$I$71,MATCH(L40,$G$12:$G$71,0))</f>
        <v/>
      </c>
    </row>
    <row r="41">
      <c r="B41" s="31" t="inlineStr">
        <is>
          <t>MS-0030</t>
        </is>
      </c>
      <c r="C41" s="31" t="inlineStr">
        <is>
          <t>Modules &amp; Others</t>
        </is>
      </c>
      <c r="D41" s="32" t="n">
        <v>31</v>
      </c>
      <c r="E41" s="33" t="n">
        <v>2492</v>
      </c>
      <c r="F41" s="34">
        <f>D41*E41</f>
        <v/>
      </c>
      <c r="G41" s="35">
        <f>RANK(F41,$F$12:$F$71,0)+COUNTIF($F$12:F41,F41)-1</f>
        <v/>
      </c>
      <c r="H41" s="34">
        <f>SUMPRODUCT(($G$12:$G$71&lt;=G41)*$F$12:$F$71)</f>
        <v/>
      </c>
      <c r="I41" s="36">
        <f>H41/SUM($F$12:$F$71)</f>
        <v/>
      </c>
      <c r="J41" s="37">
        <f>IF(I41&lt;=$C$6,"A",IF(I41&lt;=$C$7,"B","C"))</f>
        <v/>
      </c>
      <c r="L41" s="28" t="n">
        <v>30</v>
      </c>
      <c r="M41" s="30">
        <f>INDEX($B$12:$B$71,MATCH(L41,$G$12:$G$71,0))</f>
        <v/>
      </c>
      <c r="N41" s="27">
        <f>INDEX($F$12:$F$71,MATCH(L41,$G$12:$G$71,0))</f>
        <v/>
      </c>
      <c r="O41" s="29">
        <f>INDEX($I$12:$I$71,MATCH(L41,$G$12:$G$71,0))</f>
        <v/>
      </c>
    </row>
    <row r="42">
      <c r="B42" s="24" t="inlineStr">
        <is>
          <t>MS-0031</t>
        </is>
      </c>
      <c r="C42" s="24" t="inlineStr">
        <is>
          <t>Wiring Harness</t>
        </is>
      </c>
      <c r="D42" s="25" t="n">
        <v>385</v>
      </c>
      <c r="E42" s="26" t="n">
        <v>764</v>
      </c>
      <c r="F42" s="27">
        <f>D42*E42</f>
        <v/>
      </c>
      <c r="G42" s="28">
        <f>RANK(F42,$F$12:$F$71,0)+COUNTIF($F$12:F42,F42)-1</f>
        <v/>
      </c>
      <c r="H42" s="27">
        <f>SUMPRODUCT(($G$12:$G$71&lt;=G42)*$F$12:$F$71)</f>
        <v/>
      </c>
      <c r="I42" s="29">
        <f>H42/SUM($F$12:$F$71)</f>
        <v/>
      </c>
      <c r="J42" s="19">
        <f>IF(I42&lt;=$C$6,"A",IF(I42&lt;=$C$7,"B","C"))</f>
        <v/>
      </c>
      <c r="L42" s="28" t="n">
        <v>31</v>
      </c>
      <c r="M42" s="30">
        <f>INDEX($B$12:$B$71,MATCH(L42,$G$12:$G$71,0))</f>
        <v/>
      </c>
      <c r="N42" s="27">
        <f>INDEX($F$12:$F$71,MATCH(L42,$G$12:$G$71,0))</f>
        <v/>
      </c>
      <c r="O42" s="29">
        <f>INDEX($I$12:$I$71,MATCH(L42,$G$12:$G$71,0))</f>
        <v/>
      </c>
    </row>
    <row r="43">
      <c r="B43" s="31" t="inlineStr">
        <is>
          <t>MS-0032</t>
        </is>
      </c>
      <c r="C43" s="31" t="inlineStr">
        <is>
          <t>Mirror Assemblies</t>
        </is>
      </c>
      <c r="D43" s="32" t="n">
        <v>1204</v>
      </c>
      <c r="E43" s="33" t="n">
        <v>141</v>
      </c>
      <c r="F43" s="34">
        <f>D43*E43</f>
        <v/>
      </c>
      <c r="G43" s="35">
        <f>RANK(F43,$F$12:$F$71,0)+COUNTIF($F$12:F43,F43)-1</f>
        <v/>
      </c>
      <c r="H43" s="34">
        <f>SUMPRODUCT(($G$12:$G$71&lt;=G43)*$F$12:$F$71)</f>
        <v/>
      </c>
      <c r="I43" s="36">
        <f>H43/SUM($F$12:$F$71)</f>
        <v/>
      </c>
      <c r="J43" s="37">
        <f>IF(I43&lt;=$C$6,"A",IF(I43&lt;=$C$7,"B","C"))</f>
        <v/>
      </c>
      <c r="L43" s="28" t="n">
        <v>32</v>
      </c>
      <c r="M43" s="30">
        <f>INDEX($B$12:$B$71,MATCH(L43,$G$12:$G$71,0))</f>
        <v/>
      </c>
      <c r="N43" s="27">
        <f>INDEX($F$12:$F$71,MATCH(L43,$G$12:$G$71,0))</f>
        <v/>
      </c>
      <c r="O43" s="29">
        <f>INDEX($I$12:$I$71,MATCH(L43,$G$12:$G$71,0))</f>
        <v/>
      </c>
    </row>
    <row r="44">
      <c r="B44" s="24" t="inlineStr">
        <is>
          <t>MS-0033</t>
        </is>
      </c>
      <c r="C44" s="24" t="inlineStr">
        <is>
          <t>Polymer &amp; Interior</t>
        </is>
      </c>
      <c r="D44" s="25" t="n">
        <v>108</v>
      </c>
      <c r="E44" s="26" t="n">
        <v>1037</v>
      </c>
      <c r="F44" s="27">
        <f>D44*E44</f>
        <v/>
      </c>
      <c r="G44" s="28">
        <f>RANK(F44,$F$12:$F$71,0)+COUNTIF($F$12:F44,F44)-1</f>
        <v/>
      </c>
      <c r="H44" s="27">
        <f>SUMPRODUCT(($G$12:$G$71&lt;=G44)*$F$12:$F$71)</f>
        <v/>
      </c>
      <c r="I44" s="29">
        <f>H44/SUM($F$12:$F$71)</f>
        <v/>
      </c>
      <c r="J44" s="19">
        <f>IF(I44&lt;=$C$6,"A",IF(I44&lt;=$C$7,"B","C"))</f>
        <v/>
      </c>
      <c r="L44" s="28" t="n">
        <v>33</v>
      </c>
      <c r="M44" s="30">
        <f>INDEX($B$12:$B$71,MATCH(L44,$G$12:$G$71,0))</f>
        <v/>
      </c>
      <c r="N44" s="27">
        <f>INDEX($F$12:$F$71,MATCH(L44,$G$12:$G$71,0))</f>
        <v/>
      </c>
      <c r="O44" s="29">
        <f>INDEX($I$12:$I$71,MATCH(L44,$G$12:$G$71,0))</f>
        <v/>
      </c>
    </row>
    <row r="45">
      <c r="B45" s="31" t="inlineStr">
        <is>
          <t>MS-0034</t>
        </is>
      </c>
      <c r="C45" s="31" t="inlineStr">
        <is>
          <t>Lighting Systems</t>
        </is>
      </c>
      <c r="D45" s="32" t="n">
        <v>210</v>
      </c>
      <c r="E45" s="33" t="n">
        <v>886</v>
      </c>
      <c r="F45" s="34">
        <f>D45*E45</f>
        <v/>
      </c>
      <c r="G45" s="35">
        <f>RANK(F45,$F$12:$F$71,0)+COUNTIF($F$12:F45,F45)-1</f>
        <v/>
      </c>
      <c r="H45" s="34">
        <f>SUMPRODUCT(($G$12:$G$71&lt;=G45)*$F$12:$F$71)</f>
        <v/>
      </c>
      <c r="I45" s="36">
        <f>H45/SUM($F$12:$F$71)</f>
        <v/>
      </c>
      <c r="J45" s="37">
        <f>IF(I45&lt;=$C$6,"A",IF(I45&lt;=$C$7,"B","C"))</f>
        <v/>
      </c>
      <c r="L45" s="28" t="n">
        <v>34</v>
      </c>
      <c r="M45" s="30">
        <f>INDEX($B$12:$B$71,MATCH(L45,$G$12:$G$71,0))</f>
        <v/>
      </c>
      <c r="N45" s="27">
        <f>INDEX($F$12:$F$71,MATCH(L45,$G$12:$G$71,0))</f>
        <v/>
      </c>
      <c r="O45" s="29">
        <f>INDEX($I$12:$I$71,MATCH(L45,$G$12:$G$71,0))</f>
        <v/>
      </c>
    </row>
    <row r="46">
      <c r="B46" s="24" t="inlineStr">
        <is>
          <t>MS-0035</t>
        </is>
      </c>
      <c r="C46" s="24" t="inlineStr">
        <is>
          <t>Elastomer &amp; Sealing</t>
        </is>
      </c>
      <c r="D46" s="25" t="n">
        <v>121</v>
      </c>
      <c r="E46" s="26" t="n">
        <v>707</v>
      </c>
      <c r="F46" s="27">
        <f>D46*E46</f>
        <v/>
      </c>
      <c r="G46" s="28">
        <f>RANK(F46,$F$12:$F$71,0)+COUNTIF($F$12:F46,F46)-1</f>
        <v/>
      </c>
      <c r="H46" s="27">
        <f>SUMPRODUCT(($G$12:$G$71&lt;=G46)*$F$12:$F$71)</f>
        <v/>
      </c>
      <c r="I46" s="29">
        <f>H46/SUM($F$12:$F$71)</f>
        <v/>
      </c>
      <c r="J46" s="19">
        <f>IF(I46&lt;=$C$6,"A",IF(I46&lt;=$C$7,"B","C"))</f>
        <v/>
      </c>
      <c r="L46" s="28" t="n">
        <v>35</v>
      </c>
      <c r="M46" s="30">
        <f>INDEX($B$12:$B$71,MATCH(L46,$G$12:$G$71,0))</f>
        <v/>
      </c>
      <c r="N46" s="27">
        <f>INDEX($F$12:$F$71,MATCH(L46,$G$12:$G$71,0))</f>
        <v/>
      </c>
      <c r="O46" s="29">
        <f>INDEX($I$12:$I$71,MATCH(L46,$G$12:$G$71,0))</f>
        <v/>
      </c>
    </row>
    <row r="47">
      <c r="B47" s="31" t="inlineStr">
        <is>
          <t>MS-0036</t>
        </is>
      </c>
      <c r="C47" s="31" t="inlineStr">
        <is>
          <t>Modules &amp; Others</t>
        </is>
      </c>
      <c r="D47" s="32" t="n">
        <v>160</v>
      </c>
      <c r="E47" s="33" t="n">
        <v>3020</v>
      </c>
      <c r="F47" s="34">
        <f>D47*E47</f>
        <v/>
      </c>
      <c r="G47" s="35">
        <f>RANK(F47,$F$12:$F$71,0)+COUNTIF($F$12:F47,F47)-1</f>
        <v/>
      </c>
      <c r="H47" s="34">
        <f>SUMPRODUCT(($G$12:$G$71&lt;=G47)*$F$12:$F$71)</f>
        <v/>
      </c>
      <c r="I47" s="36">
        <f>H47/SUM($F$12:$F$71)</f>
        <v/>
      </c>
      <c r="J47" s="37">
        <f>IF(I47&lt;=$C$6,"A",IF(I47&lt;=$C$7,"B","C"))</f>
        <v/>
      </c>
      <c r="L47" s="28" t="n">
        <v>36</v>
      </c>
      <c r="M47" s="30">
        <f>INDEX($B$12:$B$71,MATCH(L47,$G$12:$G$71,0))</f>
        <v/>
      </c>
      <c r="N47" s="27">
        <f>INDEX($F$12:$F$71,MATCH(L47,$G$12:$G$71,0))</f>
        <v/>
      </c>
      <c r="O47" s="29">
        <f>INDEX($I$12:$I$71,MATCH(L47,$G$12:$G$71,0))</f>
        <v/>
      </c>
    </row>
    <row r="48">
      <c r="B48" s="24" t="inlineStr">
        <is>
          <t>MS-0037</t>
        </is>
      </c>
      <c r="C48" s="24" t="inlineStr">
        <is>
          <t>Wiring Harness</t>
        </is>
      </c>
      <c r="D48" s="25" t="n">
        <v>46</v>
      </c>
      <c r="E48" s="26" t="n">
        <v>2809</v>
      </c>
      <c r="F48" s="27">
        <f>D48*E48</f>
        <v/>
      </c>
      <c r="G48" s="28">
        <f>RANK(F48,$F$12:$F$71,0)+COUNTIF($F$12:F48,F48)-1</f>
        <v/>
      </c>
      <c r="H48" s="27">
        <f>SUMPRODUCT(($G$12:$G$71&lt;=G48)*$F$12:$F$71)</f>
        <v/>
      </c>
      <c r="I48" s="29">
        <f>H48/SUM($F$12:$F$71)</f>
        <v/>
      </c>
      <c r="J48" s="19">
        <f>IF(I48&lt;=$C$6,"A",IF(I48&lt;=$C$7,"B","C"))</f>
        <v/>
      </c>
      <c r="L48" s="28" t="n">
        <v>37</v>
      </c>
      <c r="M48" s="30">
        <f>INDEX($B$12:$B$71,MATCH(L48,$G$12:$G$71,0))</f>
        <v/>
      </c>
      <c r="N48" s="27">
        <f>INDEX($F$12:$F$71,MATCH(L48,$G$12:$G$71,0))</f>
        <v/>
      </c>
      <c r="O48" s="29">
        <f>INDEX($I$12:$I$71,MATCH(L48,$G$12:$G$71,0))</f>
        <v/>
      </c>
    </row>
    <row r="49">
      <c r="B49" s="31" t="inlineStr">
        <is>
          <t>MS-0038</t>
        </is>
      </c>
      <c r="C49" s="31" t="inlineStr">
        <is>
          <t>Mirror Assemblies</t>
        </is>
      </c>
      <c r="D49" s="32" t="n">
        <v>98</v>
      </c>
      <c r="E49" s="33" t="n">
        <v>1034</v>
      </c>
      <c r="F49" s="34">
        <f>D49*E49</f>
        <v/>
      </c>
      <c r="G49" s="35">
        <f>RANK(F49,$F$12:$F$71,0)+COUNTIF($F$12:F49,F49)-1</f>
        <v/>
      </c>
      <c r="H49" s="34">
        <f>SUMPRODUCT(($G$12:$G$71&lt;=G49)*$F$12:$F$71)</f>
        <v/>
      </c>
      <c r="I49" s="36">
        <f>H49/SUM($F$12:$F$71)</f>
        <v/>
      </c>
      <c r="J49" s="37">
        <f>IF(I49&lt;=$C$6,"A",IF(I49&lt;=$C$7,"B","C"))</f>
        <v/>
      </c>
      <c r="L49" s="28" t="n">
        <v>38</v>
      </c>
      <c r="M49" s="30">
        <f>INDEX($B$12:$B$71,MATCH(L49,$G$12:$G$71,0))</f>
        <v/>
      </c>
      <c r="N49" s="27">
        <f>INDEX($F$12:$F$71,MATCH(L49,$G$12:$G$71,0))</f>
        <v/>
      </c>
      <c r="O49" s="29">
        <f>INDEX($I$12:$I$71,MATCH(L49,$G$12:$G$71,0))</f>
        <v/>
      </c>
    </row>
    <row r="50">
      <c r="B50" s="24" t="inlineStr">
        <is>
          <t>MS-0039</t>
        </is>
      </c>
      <c r="C50" s="24" t="inlineStr">
        <is>
          <t>Polymer &amp; Interior</t>
        </is>
      </c>
      <c r="D50" s="25" t="n">
        <v>68</v>
      </c>
      <c r="E50" s="26" t="n">
        <v>2111</v>
      </c>
      <c r="F50" s="27">
        <f>D50*E50</f>
        <v/>
      </c>
      <c r="G50" s="28">
        <f>RANK(F50,$F$12:$F$71,0)+COUNTIF($F$12:F50,F50)-1</f>
        <v/>
      </c>
      <c r="H50" s="27">
        <f>SUMPRODUCT(($G$12:$G$71&lt;=G50)*$F$12:$F$71)</f>
        <v/>
      </c>
      <c r="I50" s="29">
        <f>H50/SUM($F$12:$F$71)</f>
        <v/>
      </c>
      <c r="J50" s="19">
        <f>IF(I50&lt;=$C$6,"A",IF(I50&lt;=$C$7,"B","C"))</f>
        <v/>
      </c>
      <c r="L50" s="28" t="n">
        <v>39</v>
      </c>
      <c r="M50" s="30">
        <f>INDEX($B$12:$B$71,MATCH(L50,$G$12:$G$71,0))</f>
        <v/>
      </c>
      <c r="N50" s="27">
        <f>INDEX($F$12:$F$71,MATCH(L50,$G$12:$G$71,0))</f>
        <v/>
      </c>
      <c r="O50" s="29">
        <f>INDEX($I$12:$I$71,MATCH(L50,$G$12:$G$71,0))</f>
        <v/>
      </c>
    </row>
    <row r="51">
      <c r="B51" s="31" t="inlineStr">
        <is>
          <t>MS-0040</t>
        </is>
      </c>
      <c r="C51" s="31" t="inlineStr">
        <is>
          <t>Lighting Systems</t>
        </is>
      </c>
      <c r="D51" s="32" t="n">
        <v>59</v>
      </c>
      <c r="E51" s="33" t="n">
        <v>1290</v>
      </c>
      <c r="F51" s="34">
        <f>D51*E51</f>
        <v/>
      </c>
      <c r="G51" s="35">
        <f>RANK(F51,$F$12:$F$71,0)+COUNTIF($F$12:F51,F51)-1</f>
        <v/>
      </c>
      <c r="H51" s="34">
        <f>SUMPRODUCT(($G$12:$G$71&lt;=G51)*$F$12:$F$71)</f>
        <v/>
      </c>
      <c r="I51" s="36">
        <f>H51/SUM($F$12:$F$71)</f>
        <v/>
      </c>
      <c r="J51" s="37">
        <f>IF(I51&lt;=$C$6,"A",IF(I51&lt;=$C$7,"B","C"))</f>
        <v/>
      </c>
      <c r="L51" s="28" t="n">
        <v>40</v>
      </c>
      <c r="M51" s="30">
        <f>INDEX($B$12:$B$71,MATCH(L51,$G$12:$G$71,0))</f>
        <v/>
      </c>
      <c r="N51" s="27">
        <f>INDEX($F$12:$F$71,MATCH(L51,$G$12:$G$71,0))</f>
        <v/>
      </c>
      <c r="O51" s="29">
        <f>INDEX($I$12:$I$71,MATCH(L51,$G$12:$G$71,0))</f>
        <v/>
      </c>
    </row>
    <row r="52">
      <c r="B52" s="24" t="inlineStr">
        <is>
          <t>MS-0041</t>
        </is>
      </c>
      <c r="C52" s="24" t="inlineStr">
        <is>
          <t>Elastomer &amp; Sealing</t>
        </is>
      </c>
      <c r="D52" s="25" t="n">
        <v>149</v>
      </c>
      <c r="E52" s="26" t="n">
        <v>2930</v>
      </c>
      <c r="F52" s="27">
        <f>D52*E52</f>
        <v/>
      </c>
      <c r="G52" s="28">
        <f>RANK(F52,$F$12:$F$71,0)+COUNTIF($F$12:F52,F52)-1</f>
        <v/>
      </c>
      <c r="H52" s="27">
        <f>SUMPRODUCT(($G$12:$G$71&lt;=G52)*$F$12:$F$71)</f>
        <v/>
      </c>
      <c r="I52" s="29">
        <f>H52/SUM($F$12:$F$71)</f>
        <v/>
      </c>
      <c r="J52" s="19">
        <f>IF(I52&lt;=$C$6,"A",IF(I52&lt;=$C$7,"B","C"))</f>
        <v/>
      </c>
      <c r="L52" s="28" t="n">
        <v>41</v>
      </c>
      <c r="M52" s="30">
        <f>INDEX($B$12:$B$71,MATCH(L52,$G$12:$G$71,0))</f>
        <v/>
      </c>
      <c r="N52" s="27">
        <f>INDEX($F$12:$F$71,MATCH(L52,$G$12:$G$71,0))</f>
        <v/>
      </c>
      <c r="O52" s="29">
        <f>INDEX($I$12:$I$71,MATCH(L52,$G$12:$G$71,0))</f>
        <v/>
      </c>
    </row>
    <row r="53">
      <c r="B53" s="31" t="inlineStr">
        <is>
          <t>MS-0042</t>
        </is>
      </c>
      <c r="C53" s="31" t="inlineStr">
        <is>
          <t>Modules &amp; Others</t>
        </is>
      </c>
      <c r="D53" s="32" t="n">
        <v>61</v>
      </c>
      <c r="E53" s="33" t="n">
        <v>1490</v>
      </c>
      <c r="F53" s="34">
        <f>D53*E53</f>
        <v/>
      </c>
      <c r="G53" s="35">
        <f>RANK(F53,$F$12:$F$71,0)+COUNTIF($F$12:F53,F53)-1</f>
        <v/>
      </c>
      <c r="H53" s="34">
        <f>SUMPRODUCT(($G$12:$G$71&lt;=G53)*$F$12:$F$71)</f>
        <v/>
      </c>
      <c r="I53" s="36">
        <f>H53/SUM($F$12:$F$71)</f>
        <v/>
      </c>
      <c r="J53" s="37">
        <f>IF(I53&lt;=$C$6,"A",IF(I53&lt;=$C$7,"B","C"))</f>
        <v/>
      </c>
      <c r="L53" s="28" t="n">
        <v>42</v>
      </c>
      <c r="M53" s="30">
        <f>INDEX($B$12:$B$71,MATCH(L53,$G$12:$G$71,0))</f>
        <v/>
      </c>
      <c r="N53" s="27">
        <f>INDEX($F$12:$F$71,MATCH(L53,$G$12:$G$71,0))</f>
        <v/>
      </c>
      <c r="O53" s="29">
        <f>INDEX($I$12:$I$71,MATCH(L53,$G$12:$G$71,0))</f>
        <v/>
      </c>
    </row>
    <row r="54">
      <c r="B54" s="24" t="inlineStr">
        <is>
          <t>MS-0043</t>
        </is>
      </c>
      <c r="C54" s="24" t="inlineStr">
        <is>
          <t>Wiring Harness</t>
        </is>
      </c>
      <c r="D54" s="25" t="n">
        <v>79</v>
      </c>
      <c r="E54" s="26" t="n">
        <v>877</v>
      </c>
      <c r="F54" s="27">
        <f>D54*E54</f>
        <v/>
      </c>
      <c r="G54" s="28">
        <f>RANK(F54,$F$12:$F$71,0)+COUNTIF($F$12:F54,F54)-1</f>
        <v/>
      </c>
      <c r="H54" s="27">
        <f>SUMPRODUCT(($G$12:$G$71&lt;=G54)*$F$12:$F$71)</f>
        <v/>
      </c>
      <c r="I54" s="29">
        <f>H54/SUM($F$12:$F$71)</f>
        <v/>
      </c>
      <c r="J54" s="19">
        <f>IF(I54&lt;=$C$6,"A",IF(I54&lt;=$C$7,"B","C"))</f>
        <v/>
      </c>
      <c r="L54" s="28" t="n">
        <v>43</v>
      </c>
      <c r="M54" s="30">
        <f>INDEX($B$12:$B$71,MATCH(L54,$G$12:$G$71,0))</f>
        <v/>
      </c>
      <c r="N54" s="27">
        <f>INDEX($F$12:$F$71,MATCH(L54,$G$12:$G$71,0))</f>
        <v/>
      </c>
      <c r="O54" s="29">
        <f>INDEX($I$12:$I$71,MATCH(L54,$G$12:$G$71,0))</f>
        <v/>
      </c>
    </row>
    <row r="55">
      <c r="B55" s="31" t="inlineStr">
        <is>
          <t>MS-0044</t>
        </is>
      </c>
      <c r="C55" s="31" t="inlineStr">
        <is>
          <t>Mirror Assemblies</t>
        </is>
      </c>
      <c r="D55" s="32" t="n">
        <v>3958</v>
      </c>
      <c r="E55" s="33" t="n">
        <v>819</v>
      </c>
      <c r="F55" s="34">
        <f>D55*E55</f>
        <v/>
      </c>
      <c r="G55" s="35">
        <f>RANK(F55,$F$12:$F$71,0)+COUNTIF($F$12:F55,F55)-1</f>
        <v/>
      </c>
      <c r="H55" s="34">
        <f>SUMPRODUCT(($G$12:$G$71&lt;=G55)*$F$12:$F$71)</f>
        <v/>
      </c>
      <c r="I55" s="36">
        <f>H55/SUM($F$12:$F$71)</f>
        <v/>
      </c>
      <c r="J55" s="37">
        <f>IF(I55&lt;=$C$6,"A",IF(I55&lt;=$C$7,"B","C"))</f>
        <v/>
      </c>
      <c r="L55" s="28" t="n">
        <v>44</v>
      </c>
      <c r="M55" s="30">
        <f>INDEX($B$12:$B$71,MATCH(L55,$G$12:$G$71,0))</f>
        <v/>
      </c>
      <c r="N55" s="27">
        <f>INDEX($F$12:$F$71,MATCH(L55,$G$12:$G$71,0))</f>
        <v/>
      </c>
      <c r="O55" s="29">
        <f>INDEX($I$12:$I$71,MATCH(L55,$G$12:$G$71,0))</f>
        <v/>
      </c>
    </row>
    <row r="56">
      <c r="B56" s="24" t="inlineStr">
        <is>
          <t>MS-0045</t>
        </is>
      </c>
      <c r="C56" s="24" t="inlineStr">
        <is>
          <t>Polymer &amp; Interior</t>
        </is>
      </c>
      <c r="D56" s="25" t="n">
        <v>98</v>
      </c>
      <c r="E56" s="26" t="n">
        <v>1814</v>
      </c>
      <c r="F56" s="27">
        <f>D56*E56</f>
        <v/>
      </c>
      <c r="G56" s="28">
        <f>RANK(F56,$F$12:$F$71,0)+COUNTIF($F$12:F56,F56)-1</f>
        <v/>
      </c>
      <c r="H56" s="27">
        <f>SUMPRODUCT(($G$12:$G$71&lt;=G56)*$F$12:$F$71)</f>
        <v/>
      </c>
      <c r="I56" s="29">
        <f>H56/SUM($F$12:$F$71)</f>
        <v/>
      </c>
      <c r="J56" s="19">
        <f>IF(I56&lt;=$C$6,"A",IF(I56&lt;=$C$7,"B","C"))</f>
        <v/>
      </c>
      <c r="L56" s="28" t="n">
        <v>45</v>
      </c>
      <c r="M56" s="30">
        <f>INDEX($B$12:$B$71,MATCH(L56,$G$12:$G$71,0))</f>
        <v/>
      </c>
      <c r="N56" s="27">
        <f>INDEX($F$12:$F$71,MATCH(L56,$G$12:$G$71,0))</f>
        <v/>
      </c>
      <c r="O56" s="29">
        <f>INDEX($I$12:$I$71,MATCH(L56,$G$12:$G$71,0))</f>
        <v/>
      </c>
    </row>
    <row r="57">
      <c r="B57" s="31" t="inlineStr">
        <is>
          <t>MS-0046</t>
        </is>
      </c>
      <c r="C57" s="31" t="inlineStr">
        <is>
          <t>Lighting Systems</t>
        </is>
      </c>
      <c r="D57" s="32" t="n">
        <v>137</v>
      </c>
      <c r="E57" s="33" t="n">
        <v>870</v>
      </c>
      <c r="F57" s="34">
        <f>D57*E57</f>
        <v/>
      </c>
      <c r="G57" s="35">
        <f>RANK(F57,$F$12:$F$71,0)+COUNTIF($F$12:F57,F57)-1</f>
        <v/>
      </c>
      <c r="H57" s="34">
        <f>SUMPRODUCT(($G$12:$G$71&lt;=G57)*$F$12:$F$71)</f>
        <v/>
      </c>
      <c r="I57" s="36">
        <f>H57/SUM($F$12:$F$71)</f>
        <v/>
      </c>
      <c r="J57" s="37">
        <f>IF(I57&lt;=$C$6,"A",IF(I57&lt;=$C$7,"B","C"))</f>
        <v/>
      </c>
      <c r="L57" s="28" t="n">
        <v>46</v>
      </c>
      <c r="M57" s="30">
        <f>INDEX($B$12:$B$71,MATCH(L57,$G$12:$G$71,0))</f>
        <v/>
      </c>
      <c r="N57" s="27">
        <f>INDEX($F$12:$F$71,MATCH(L57,$G$12:$G$71,0))</f>
        <v/>
      </c>
      <c r="O57" s="29">
        <f>INDEX($I$12:$I$71,MATCH(L57,$G$12:$G$71,0))</f>
        <v/>
      </c>
    </row>
    <row r="58">
      <c r="B58" s="24" t="inlineStr">
        <is>
          <t>MS-0047</t>
        </is>
      </c>
      <c r="C58" s="24" t="inlineStr">
        <is>
          <t>Elastomer &amp; Sealing</t>
        </is>
      </c>
      <c r="D58" s="25" t="n">
        <v>698</v>
      </c>
      <c r="E58" s="26" t="n">
        <v>1887</v>
      </c>
      <c r="F58" s="27">
        <f>D58*E58</f>
        <v/>
      </c>
      <c r="G58" s="28">
        <f>RANK(F58,$F$12:$F$71,0)+COUNTIF($F$12:F58,F58)-1</f>
        <v/>
      </c>
      <c r="H58" s="27">
        <f>SUMPRODUCT(($G$12:$G$71&lt;=G58)*$F$12:$F$71)</f>
        <v/>
      </c>
      <c r="I58" s="29">
        <f>H58/SUM($F$12:$F$71)</f>
        <v/>
      </c>
      <c r="J58" s="19">
        <f>IF(I58&lt;=$C$6,"A",IF(I58&lt;=$C$7,"B","C"))</f>
        <v/>
      </c>
      <c r="L58" s="28" t="n">
        <v>47</v>
      </c>
      <c r="M58" s="30">
        <f>INDEX($B$12:$B$71,MATCH(L58,$G$12:$G$71,0))</f>
        <v/>
      </c>
      <c r="N58" s="27">
        <f>INDEX($F$12:$F$71,MATCH(L58,$G$12:$G$71,0))</f>
        <v/>
      </c>
      <c r="O58" s="29">
        <f>INDEX($I$12:$I$71,MATCH(L58,$G$12:$G$71,0))</f>
        <v/>
      </c>
    </row>
    <row r="59">
      <c r="B59" s="31" t="inlineStr">
        <is>
          <t>MS-0048</t>
        </is>
      </c>
      <c r="C59" s="31" t="inlineStr">
        <is>
          <t>Modules &amp; Others</t>
        </is>
      </c>
      <c r="D59" s="32" t="n">
        <v>46</v>
      </c>
      <c r="E59" s="33" t="n">
        <v>2877</v>
      </c>
      <c r="F59" s="34">
        <f>D59*E59</f>
        <v/>
      </c>
      <c r="G59" s="35">
        <f>RANK(F59,$F$12:$F$71,0)+COUNTIF($F$12:F59,F59)-1</f>
        <v/>
      </c>
      <c r="H59" s="34">
        <f>SUMPRODUCT(($G$12:$G$71&lt;=G59)*$F$12:$F$71)</f>
        <v/>
      </c>
      <c r="I59" s="36">
        <f>H59/SUM($F$12:$F$71)</f>
        <v/>
      </c>
      <c r="J59" s="37">
        <f>IF(I59&lt;=$C$6,"A",IF(I59&lt;=$C$7,"B","C"))</f>
        <v/>
      </c>
      <c r="L59" s="28" t="n">
        <v>48</v>
      </c>
      <c r="M59" s="30">
        <f>INDEX($B$12:$B$71,MATCH(L59,$G$12:$G$71,0))</f>
        <v/>
      </c>
      <c r="N59" s="27">
        <f>INDEX($F$12:$F$71,MATCH(L59,$G$12:$G$71,0))</f>
        <v/>
      </c>
      <c r="O59" s="29">
        <f>INDEX($I$12:$I$71,MATCH(L59,$G$12:$G$71,0))</f>
        <v/>
      </c>
    </row>
    <row r="60">
      <c r="B60" s="24" t="inlineStr">
        <is>
          <t>MS-0049</t>
        </is>
      </c>
      <c r="C60" s="24" t="inlineStr">
        <is>
          <t>Wiring Harness</t>
        </is>
      </c>
      <c r="D60" s="25" t="n">
        <v>61</v>
      </c>
      <c r="E60" s="26" t="n">
        <v>1302</v>
      </c>
      <c r="F60" s="27">
        <f>D60*E60</f>
        <v/>
      </c>
      <c r="G60" s="28">
        <f>RANK(F60,$F$12:$F$71,0)+COUNTIF($F$12:F60,F60)-1</f>
        <v/>
      </c>
      <c r="H60" s="27">
        <f>SUMPRODUCT(($G$12:$G$71&lt;=G60)*$F$12:$F$71)</f>
        <v/>
      </c>
      <c r="I60" s="29">
        <f>H60/SUM($F$12:$F$71)</f>
        <v/>
      </c>
      <c r="J60" s="19">
        <f>IF(I60&lt;=$C$6,"A",IF(I60&lt;=$C$7,"B","C"))</f>
        <v/>
      </c>
      <c r="L60" s="28" t="n">
        <v>49</v>
      </c>
      <c r="M60" s="30">
        <f>INDEX($B$12:$B$71,MATCH(L60,$G$12:$G$71,0))</f>
        <v/>
      </c>
      <c r="N60" s="27">
        <f>INDEX($F$12:$F$71,MATCH(L60,$G$12:$G$71,0))</f>
        <v/>
      </c>
      <c r="O60" s="29">
        <f>INDEX($I$12:$I$71,MATCH(L60,$G$12:$G$71,0))</f>
        <v/>
      </c>
    </row>
    <row r="61">
      <c r="B61" s="31" t="inlineStr">
        <is>
          <t>MS-0050</t>
        </is>
      </c>
      <c r="C61" s="31" t="inlineStr">
        <is>
          <t>Mirror Assemblies</t>
        </is>
      </c>
      <c r="D61" s="32" t="n">
        <v>135</v>
      </c>
      <c r="E61" s="33" t="n">
        <v>733</v>
      </c>
      <c r="F61" s="34">
        <f>D61*E61</f>
        <v/>
      </c>
      <c r="G61" s="35">
        <f>RANK(F61,$F$12:$F$71,0)+COUNTIF($F$12:F61,F61)-1</f>
        <v/>
      </c>
      <c r="H61" s="34">
        <f>SUMPRODUCT(($G$12:$G$71&lt;=G61)*$F$12:$F$71)</f>
        <v/>
      </c>
      <c r="I61" s="36">
        <f>H61/SUM($F$12:$F$71)</f>
        <v/>
      </c>
      <c r="J61" s="37">
        <f>IF(I61&lt;=$C$6,"A",IF(I61&lt;=$C$7,"B","C"))</f>
        <v/>
      </c>
      <c r="L61" s="28" t="n">
        <v>50</v>
      </c>
      <c r="M61" s="30">
        <f>INDEX($B$12:$B$71,MATCH(L61,$G$12:$G$71,0))</f>
        <v/>
      </c>
      <c r="N61" s="27">
        <f>INDEX($F$12:$F$71,MATCH(L61,$G$12:$G$71,0))</f>
        <v/>
      </c>
      <c r="O61" s="29">
        <f>INDEX($I$12:$I$71,MATCH(L61,$G$12:$G$71,0))</f>
        <v/>
      </c>
    </row>
    <row r="62">
      <c r="B62" s="24" t="inlineStr">
        <is>
          <t>MS-0051</t>
        </is>
      </c>
      <c r="C62" s="24" t="inlineStr">
        <is>
          <t>Polymer &amp; Interior</t>
        </is>
      </c>
      <c r="D62" s="25" t="n">
        <v>338</v>
      </c>
      <c r="E62" s="26" t="n">
        <v>3192</v>
      </c>
      <c r="F62" s="27">
        <f>D62*E62</f>
        <v/>
      </c>
      <c r="G62" s="28">
        <f>RANK(F62,$F$12:$F$71,0)+COUNTIF($F$12:F62,F62)-1</f>
        <v/>
      </c>
      <c r="H62" s="27">
        <f>SUMPRODUCT(($G$12:$G$71&lt;=G62)*$F$12:$F$71)</f>
        <v/>
      </c>
      <c r="I62" s="29">
        <f>H62/SUM($F$12:$F$71)</f>
        <v/>
      </c>
      <c r="J62" s="19">
        <f>IF(I62&lt;=$C$6,"A",IF(I62&lt;=$C$7,"B","C"))</f>
        <v/>
      </c>
      <c r="L62" s="28" t="n">
        <v>51</v>
      </c>
      <c r="M62" s="30">
        <f>INDEX($B$12:$B$71,MATCH(L62,$G$12:$G$71,0))</f>
        <v/>
      </c>
      <c r="N62" s="27">
        <f>INDEX($F$12:$F$71,MATCH(L62,$G$12:$G$71,0))</f>
        <v/>
      </c>
      <c r="O62" s="29">
        <f>INDEX($I$12:$I$71,MATCH(L62,$G$12:$G$71,0))</f>
        <v/>
      </c>
    </row>
    <row r="63">
      <c r="B63" s="31" t="inlineStr">
        <is>
          <t>MS-0052</t>
        </is>
      </c>
      <c r="C63" s="31" t="inlineStr">
        <is>
          <t>Lighting Systems</t>
        </is>
      </c>
      <c r="D63" s="32" t="n">
        <v>43</v>
      </c>
      <c r="E63" s="33" t="n">
        <v>1650</v>
      </c>
      <c r="F63" s="34">
        <f>D63*E63</f>
        <v/>
      </c>
      <c r="G63" s="35">
        <f>RANK(F63,$F$12:$F$71,0)+COUNTIF($F$12:F63,F63)-1</f>
        <v/>
      </c>
      <c r="H63" s="34">
        <f>SUMPRODUCT(($G$12:$G$71&lt;=G63)*$F$12:$F$71)</f>
        <v/>
      </c>
      <c r="I63" s="36">
        <f>H63/SUM($F$12:$F$71)</f>
        <v/>
      </c>
      <c r="J63" s="37">
        <f>IF(I63&lt;=$C$6,"A",IF(I63&lt;=$C$7,"B","C"))</f>
        <v/>
      </c>
      <c r="L63" s="28" t="n">
        <v>52</v>
      </c>
      <c r="M63" s="30">
        <f>INDEX($B$12:$B$71,MATCH(L63,$G$12:$G$71,0))</f>
        <v/>
      </c>
      <c r="N63" s="27">
        <f>INDEX($F$12:$F$71,MATCH(L63,$G$12:$G$71,0))</f>
        <v/>
      </c>
      <c r="O63" s="29">
        <f>INDEX($I$12:$I$71,MATCH(L63,$G$12:$G$71,0))</f>
        <v/>
      </c>
    </row>
    <row r="64">
      <c r="B64" s="24" t="inlineStr">
        <is>
          <t>MS-0053</t>
        </is>
      </c>
      <c r="C64" s="24" t="inlineStr">
        <is>
          <t>Elastomer &amp; Sealing</t>
        </is>
      </c>
      <c r="D64" s="25" t="n">
        <v>2376</v>
      </c>
      <c r="E64" s="26" t="n">
        <v>327</v>
      </c>
      <c r="F64" s="27">
        <f>D64*E64</f>
        <v/>
      </c>
      <c r="G64" s="28">
        <f>RANK(F64,$F$12:$F$71,0)+COUNTIF($F$12:F64,F64)-1</f>
        <v/>
      </c>
      <c r="H64" s="27">
        <f>SUMPRODUCT(($G$12:$G$71&lt;=G64)*$F$12:$F$71)</f>
        <v/>
      </c>
      <c r="I64" s="29">
        <f>H64/SUM($F$12:$F$71)</f>
        <v/>
      </c>
      <c r="J64" s="19">
        <f>IF(I64&lt;=$C$6,"A",IF(I64&lt;=$C$7,"B","C"))</f>
        <v/>
      </c>
      <c r="L64" s="28" t="n">
        <v>53</v>
      </c>
      <c r="M64" s="30">
        <f>INDEX($B$12:$B$71,MATCH(L64,$G$12:$G$71,0))</f>
        <v/>
      </c>
      <c r="N64" s="27">
        <f>INDEX($F$12:$F$71,MATCH(L64,$G$12:$G$71,0))</f>
        <v/>
      </c>
      <c r="O64" s="29">
        <f>INDEX($I$12:$I$71,MATCH(L64,$G$12:$G$71,0))</f>
        <v/>
      </c>
    </row>
    <row r="65">
      <c r="B65" s="31" t="inlineStr">
        <is>
          <t>MS-0054</t>
        </is>
      </c>
      <c r="C65" s="31" t="inlineStr">
        <is>
          <t>Modules &amp; Others</t>
        </is>
      </c>
      <c r="D65" s="32" t="n">
        <v>2117</v>
      </c>
      <c r="E65" s="33" t="n">
        <v>189</v>
      </c>
      <c r="F65" s="34">
        <f>D65*E65</f>
        <v/>
      </c>
      <c r="G65" s="35">
        <f>RANK(F65,$F$12:$F$71,0)+COUNTIF($F$12:F65,F65)-1</f>
        <v/>
      </c>
      <c r="H65" s="34">
        <f>SUMPRODUCT(($G$12:$G$71&lt;=G65)*$F$12:$F$71)</f>
        <v/>
      </c>
      <c r="I65" s="36">
        <f>H65/SUM($F$12:$F$71)</f>
        <v/>
      </c>
      <c r="J65" s="37">
        <f>IF(I65&lt;=$C$6,"A",IF(I65&lt;=$C$7,"B","C"))</f>
        <v/>
      </c>
      <c r="L65" s="28" t="n">
        <v>54</v>
      </c>
      <c r="M65" s="30">
        <f>INDEX($B$12:$B$71,MATCH(L65,$G$12:$G$71,0))</f>
        <v/>
      </c>
      <c r="N65" s="27">
        <f>INDEX($F$12:$F$71,MATCH(L65,$G$12:$G$71,0))</f>
        <v/>
      </c>
      <c r="O65" s="29">
        <f>INDEX($I$12:$I$71,MATCH(L65,$G$12:$G$71,0))</f>
        <v/>
      </c>
    </row>
    <row r="66">
      <c r="B66" s="24" t="inlineStr">
        <is>
          <t>MS-0055</t>
        </is>
      </c>
      <c r="C66" s="24" t="inlineStr">
        <is>
          <t>Wiring Harness</t>
        </is>
      </c>
      <c r="D66" s="25" t="n">
        <v>953</v>
      </c>
      <c r="E66" s="26" t="n">
        <v>386</v>
      </c>
      <c r="F66" s="27">
        <f>D66*E66</f>
        <v/>
      </c>
      <c r="G66" s="28">
        <f>RANK(F66,$F$12:$F$71,0)+COUNTIF($F$12:F66,F66)-1</f>
        <v/>
      </c>
      <c r="H66" s="27">
        <f>SUMPRODUCT(($G$12:$G$71&lt;=G66)*$F$12:$F$71)</f>
        <v/>
      </c>
      <c r="I66" s="29">
        <f>H66/SUM($F$12:$F$71)</f>
        <v/>
      </c>
      <c r="J66" s="19">
        <f>IF(I66&lt;=$C$6,"A",IF(I66&lt;=$C$7,"B","C"))</f>
        <v/>
      </c>
      <c r="L66" s="28" t="n">
        <v>55</v>
      </c>
      <c r="M66" s="30">
        <f>INDEX($B$12:$B$71,MATCH(L66,$G$12:$G$71,0))</f>
        <v/>
      </c>
      <c r="N66" s="27">
        <f>INDEX($F$12:$F$71,MATCH(L66,$G$12:$G$71,0))</f>
        <v/>
      </c>
      <c r="O66" s="29">
        <f>INDEX($I$12:$I$71,MATCH(L66,$G$12:$G$71,0))</f>
        <v/>
      </c>
    </row>
    <row r="67">
      <c r="B67" s="31" t="inlineStr">
        <is>
          <t>MS-0056</t>
        </is>
      </c>
      <c r="C67" s="31" t="inlineStr">
        <is>
          <t>Mirror Assemblies</t>
        </is>
      </c>
      <c r="D67" s="32" t="n">
        <v>156</v>
      </c>
      <c r="E67" s="33" t="n">
        <v>2023</v>
      </c>
      <c r="F67" s="34">
        <f>D67*E67</f>
        <v/>
      </c>
      <c r="G67" s="35">
        <f>RANK(F67,$F$12:$F$71,0)+COUNTIF($F$12:F67,F67)-1</f>
        <v/>
      </c>
      <c r="H67" s="34">
        <f>SUMPRODUCT(($G$12:$G$71&lt;=G67)*$F$12:$F$71)</f>
        <v/>
      </c>
      <c r="I67" s="36">
        <f>H67/SUM($F$12:$F$71)</f>
        <v/>
      </c>
      <c r="J67" s="37">
        <f>IF(I67&lt;=$C$6,"A",IF(I67&lt;=$C$7,"B","C"))</f>
        <v/>
      </c>
      <c r="L67" s="28" t="n">
        <v>56</v>
      </c>
      <c r="M67" s="30">
        <f>INDEX($B$12:$B$71,MATCH(L67,$G$12:$G$71,0))</f>
        <v/>
      </c>
      <c r="N67" s="27">
        <f>INDEX($F$12:$F$71,MATCH(L67,$G$12:$G$71,0))</f>
        <v/>
      </c>
      <c r="O67" s="29">
        <f>INDEX($I$12:$I$71,MATCH(L67,$G$12:$G$71,0))</f>
        <v/>
      </c>
    </row>
    <row r="68">
      <c r="B68" s="24" t="inlineStr">
        <is>
          <t>MS-0057</t>
        </is>
      </c>
      <c r="C68" s="24" t="inlineStr">
        <is>
          <t>Polymer &amp; Interior</t>
        </is>
      </c>
      <c r="D68" s="25" t="n">
        <v>35</v>
      </c>
      <c r="E68" s="26" t="n">
        <v>2543</v>
      </c>
      <c r="F68" s="27">
        <f>D68*E68</f>
        <v/>
      </c>
      <c r="G68" s="28">
        <f>RANK(F68,$F$12:$F$71,0)+COUNTIF($F$12:F68,F68)-1</f>
        <v/>
      </c>
      <c r="H68" s="27">
        <f>SUMPRODUCT(($G$12:$G$71&lt;=G68)*$F$12:$F$71)</f>
        <v/>
      </c>
      <c r="I68" s="29">
        <f>H68/SUM($F$12:$F$71)</f>
        <v/>
      </c>
      <c r="J68" s="19">
        <f>IF(I68&lt;=$C$6,"A",IF(I68&lt;=$C$7,"B","C"))</f>
        <v/>
      </c>
      <c r="L68" s="28" t="n">
        <v>57</v>
      </c>
      <c r="M68" s="30">
        <f>INDEX($B$12:$B$71,MATCH(L68,$G$12:$G$71,0))</f>
        <v/>
      </c>
      <c r="N68" s="27">
        <f>INDEX($F$12:$F$71,MATCH(L68,$G$12:$G$71,0))</f>
        <v/>
      </c>
      <c r="O68" s="29">
        <f>INDEX($I$12:$I$71,MATCH(L68,$G$12:$G$71,0))</f>
        <v/>
      </c>
    </row>
    <row r="69">
      <c r="B69" s="31" t="inlineStr">
        <is>
          <t>MS-0058</t>
        </is>
      </c>
      <c r="C69" s="31" t="inlineStr">
        <is>
          <t>Lighting Systems</t>
        </is>
      </c>
      <c r="D69" s="32" t="n">
        <v>3996</v>
      </c>
      <c r="E69" s="33" t="n">
        <v>1374</v>
      </c>
      <c r="F69" s="34">
        <f>D69*E69</f>
        <v/>
      </c>
      <c r="G69" s="35">
        <f>RANK(F69,$F$12:$F$71,0)+COUNTIF($F$12:F69,F69)-1</f>
        <v/>
      </c>
      <c r="H69" s="34">
        <f>SUMPRODUCT(($G$12:$G$71&lt;=G69)*$F$12:$F$71)</f>
        <v/>
      </c>
      <c r="I69" s="36">
        <f>H69/SUM($F$12:$F$71)</f>
        <v/>
      </c>
      <c r="J69" s="37">
        <f>IF(I69&lt;=$C$6,"A",IF(I69&lt;=$C$7,"B","C"))</f>
        <v/>
      </c>
      <c r="L69" s="28" t="n">
        <v>58</v>
      </c>
      <c r="M69" s="30">
        <f>INDEX($B$12:$B$71,MATCH(L69,$G$12:$G$71,0))</f>
        <v/>
      </c>
      <c r="N69" s="27">
        <f>INDEX($F$12:$F$71,MATCH(L69,$G$12:$G$71,0))</f>
        <v/>
      </c>
      <c r="O69" s="29">
        <f>INDEX($I$12:$I$71,MATCH(L69,$G$12:$G$71,0))</f>
        <v/>
      </c>
    </row>
    <row r="70">
      <c r="B70" s="24" t="inlineStr">
        <is>
          <t>MS-0059</t>
        </is>
      </c>
      <c r="C70" s="24" t="inlineStr">
        <is>
          <t>Elastomer &amp; Sealing</t>
        </is>
      </c>
      <c r="D70" s="25" t="n">
        <v>3758</v>
      </c>
      <c r="E70" s="26" t="n">
        <v>241</v>
      </c>
      <c r="F70" s="27">
        <f>D70*E70</f>
        <v/>
      </c>
      <c r="G70" s="28">
        <f>RANK(F70,$F$12:$F$71,0)+COUNTIF($F$12:F70,F70)-1</f>
        <v/>
      </c>
      <c r="H70" s="27">
        <f>SUMPRODUCT(($G$12:$G$71&lt;=G70)*$F$12:$F$71)</f>
        <v/>
      </c>
      <c r="I70" s="29">
        <f>H70/SUM($F$12:$F$71)</f>
        <v/>
      </c>
      <c r="J70" s="19">
        <f>IF(I70&lt;=$C$6,"A",IF(I70&lt;=$C$7,"B","C"))</f>
        <v/>
      </c>
      <c r="L70" s="28" t="n">
        <v>59</v>
      </c>
      <c r="M70" s="30">
        <f>INDEX($B$12:$B$71,MATCH(L70,$G$12:$G$71,0))</f>
        <v/>
      </c>
      <c r="N70" s="27">
        <f>INDEX($F$12:$F$71,MATCH(L70,$G$12:$G$71,0))</f>
        <v/>
      </c>
      <c r="O70" s="29">
        <f>INDEX($I$12:$I$71,MATCH(L70,$G$12:$G$71,0))</f>
        <v/>
      </c>
    </row>
    <row r="71">
      <c r="B71" s="31" t="inlineStr">
        <is>
          <t>MS-0060</t>
        </is>
      </c>
      <c r="C71" s="31" t="inlineStr">
        <is>
          <t>Modules &amp; Others</t>
        </is>
      </c>
      <c r="D71" s="32" t="n">
        <v>87</v>
      </c>
      <c r="E71" s="33" t="n">
        <v>1246</v>
      </c>
      <c r="F71" s="34">
        <f>D71*E71</f>
        <v/>
      </c>
      <c r="G71" s="35">
        <f>RANK(F71,$F$12:$F$71,0)+COUNTIF($F$12:F71,F71)-1</f>
        <v/>
      </c>
      <c r="H71" s="34">
        <f>SUMPRODUCT(($G$12:$G$71&lt;=G71)*$F$12:$F$71)</f>
        <v/>
      </c>
      <c r="I71" s="36">
        <f>H71/SUM($F$12:$F$71)</f>
        <v/>
      </c>
      <c r="J71" s="37">
        <f>IF(I71&lt;=$C$6,"A",IF(I71&lt;=$C$7,"B","C"))</f>
        <v/>
      </c>
      <c r="L71" s="28" t="n">
        <v>60</v>
      </c>
      <c r="M71" s="30">
        <f>INDEX($B$12:$B$71,MATCH(L71,$G$12:$G$71,0))</f>
        <v/>
      </c>
      <c r="N71" s="27">
        <f>INDEX($F$12:$F$71,MATCH(L71,$G$12:$G$71,0))</f>
        <v/>
      </c>
      <c r="O71" s="29">
        <f>INDEX($I$12:$I$71,MATCH(L71,$G$12:$G$71,0))</f>
        <v/>
      </c>
    </row>
    <row r="72">
      <c r="B72" s="19" t="inlineStr">
        <is>
          <t>Total</t>
        </is>
      </c>
      <c r="C72" s="38" t="n"/>
      <c r="D72" s="38" t="n"/>
      <c r="E72" s="38" t="n"/>
      <c r="F72" s="39">
        <f>SUM(F12:F71)</f>
        <v/>
      </c>
      <c r="G72" s="38" t="n"/>
      <c r="H72" s="38" t="n"/>
      <c r="I72" s="38" t="n"/>
      <c r="J72" s="38" t="n"/>
    </row>
    <row r="74" ht="20" customHeight="1">
      <c r="B74" s="10" t="inlineStr">
        <is>
          <t>Summary by class</t>
        </is>
      </c>
    </row>
    <row r="75">
      <c r="B75" s="40" t="inlineStr">
        <is>
          <t>Class</t>
        </is>
      </c>
      <c r="C75" s="40" t="inlineStr">
        <is>
          <t>SKU count</t>
        </is>
      </c>
      <c r="D75" s="40" t="inlineStr">
        <is>
          <t>% of SKUs</t>
        </is>
      </c>
      <c r="E75" s="40" t="inlineStr">
        <is>
          <t>Value (₹)</t>
        </is>
      </c>
      <c r="F75" s="40" t="inlineStr">
        <is>
          <t>% of value</t>
        </is>
      </c>
    </row>
    <row r="76">
      <c r="B76" s="19" t="inlineStr">
        <is>
          <t>A</t>
        </is>
      </c>
      <c r="C76" s="28">
        <f>COUNTIF($J$12:$J$71,"A")</f>
        <v/>
      </c>
      <c r="D76" s="29">
        <f>C76/60</f>
        <v/>
      </c>
      <c r="E76" s="27">
        <f>SUMIF($J$12:$J$71,"A",$F$12:$F$71)</f>
        <v/>
      </c>
      <c r="F76" s="29">
        <f>E76/$F$72</f>
        <v/>
      </c>
    </row>
    <row r="77">
      <c r="B77" s="19" t="inlineStr">
        <is>
          <t>B</t>
        </is>
      </c>
      <c r="C77" s="28">
        <f>COUNTIF($J$12:$J$71,"B")</f>
        <v/>
      </c>
      <c r="D77" s="29">
        <f>C77/60</f>
        <v/>
      </c>
      <c r="E77" s="27">
        <f>SUMIF($J$12:$J$71,"B",$F$12:$F$71)</f>
        <v/>
      </c>
      <c r="F77" s="29">
        <f>E77/$F$72</f>
        <v/>
      </c>
    </row>
    <row r="78">
      <c r="B78" s="19" t="inlineStr">
        <is>
          <t>C</t>
        </is>
      </c>
      <c r="C78" s="28">
        <f>COUNTIF($J$12:$J$71,"C")</f>
        <v/>
      </c>
      <c r="D78" s="29">
        <f>C78/60</f>
        <v/>
      </c>
      <c r="E78" s="27">
        <f>SUMIF($J$12:$J$71,"C",$F$12:$F$71)</f>
        <v/>
      </c>
      <c r="F78" s="29">
        <f>E78/$F$72</f>
        <v/>
      </c>
    </row>
    <row r="79">
      <c r="B79" s="19" t="inlineStr">
        <is>
          <t>Total</t>
        </is>
      </c>
      <c r="C79" s="41">
        <f>SUM(C76:C78)</f>
        <v/>
      </c>
      <c r="D79" s="14">
        <f>SUM(D76:D78)</f>
        <v/>
      </c>
      <c r="E79" s="39">
        <f>SUM(E76:E78)</f>
        <v/>
      </c>
      <c r="F79" s="14">
        <f>SUM(F76:F78)</f>
        <v/>
      </c>
    </row>
  </sheetData>
  <mergeCells count="4">
    <mergeCell ref="B5:C5"/>
    <mergeCell ref="B3:J3"/>
    <mergeCell ref="B74:F74"/>
    <mergeCell ref="B10:F1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8" customWidth="1" min="3" max="3"/>
    <col width="18" customWidth="1" min="4" max="4"/>
    <col width="46" customWidth="1" min="5" max="5"/>
  </cols>
  <sheetData>
    <row r="2">
      <c r="B2" s="1" t="inlineStr">
        <is>
          <t>Holding Cost Model — Current State &amp; Savings Waterfall</t>
        </is>
      </c>
    </row>
    <row r="3">
      <c r="B3" s="2" t="inlineStr">
        <is>
          <t>Every cell below is a formula referencing 'Inputs &amp; Assumptions'. Nothing here should ever be typed over.</t>
        </is>
      </c>
    </row>
    <row r="5" ht="20" customHeight="1">
      <c r="B5" s="10" t="inlineStr">
        <is>
          <t>Current state</t>
        </is>
      </c>
    </row>
    <row r="6">
      <c r="B6" s="7" t="inlineStr">
        <is>
          <t>Total SKU-variants</t>
        </is>
      </c>
      <c r="C6" s="41">
        <f>'Inputs &amp; Assumptions'!C6*'Inputs &amp; Assumptions'!C7</f>
        <v/>
      </c>
    </row>
    <row r="7">
      <c r="B7" s="7" t="inlineStr">
        <is>
          <t>Avg. inventory units per SKU-variant</t>
        </is>
      </c>
      <c r="C7" s="28">
        <f>'Inputs &amp; Assumptions'!C11/365*'Inputs &amp; Assumptions'!C12</f>
        <v/>
      </c>
    </row>
    <row r="8">
      <c r="B8" s="7" t="inlineStr">
        <is>
          <t>Total inventory value</t>
        </is>
      </c>
      <c r="C8" s="39">
        <f>C6*'Inputs &amp; Assumptions'!C10*C7</f>
        <v/>
      </c>
    </row>
    <row r="9">
      <c r="B9" s="7" t="inlineStr">
        <is>
          <t>Current annual holding cost</t>
        </is>
      </c>
      <c r="C9" s="39">
        <f>C8*'Inputs &amp; Assumptions'!C13</f>
        <v/>
      </c>
    </row>
    <row r="10">
      <c r="B10" s="7" t="inlineStr">
        <is>
          <t xml:space="preserve">  as % of inventory value</t>
        </is>
      </c>
      <c r="C10" s="29">
        <f>C9/C8</f>
        <v/>
      </c>
    </row>
    <row r="12" ht="20" customHeight="1">
      <c r="B12" s="10" t="inlineStr">
        <is>
          <t>Current holding cost, by driver</t>
        </is>
      </c>
    </row>
    <row r="13">
      <c r="B13" s="40" t="inlineStr">
        <is>
          <t>Driver</t>
        </is>
      </c>
      <c r="C13" s="40" t="inlineStr">
        <is>
          <t>Share</t>
        </is>
      </c>
      <c r="D13" s="40" t="inlineStr">
        <is>
          <t>Annual cost (₹)</t>
        </is>
      </c>
    </row>
    <row r="14">
      <c r="B14" s="30" t="inlineStr">
        <is>
          <t>Capital cost</t>
        </is>
      </c>
      <c r="C14" s="29">
        <f>'Inputs &amp; Assumptions'!C16</f>
        <v/>
      </c>
      <c r="D14" s="27">
        <f>$C$9*C14</f>
        <v/>
      </c>
    </row>
    <row r="15">
      <c r="B15" s="30" t="inlineStr">
        <is>
          <t>Storage &amp; handling</t>
        </is>
      </c>
      <c r="C15" s="29">
        <f>'Inputs &amp; Assumptions'!C17</f>
        <v/>
      </c>
      <c r="D15" s="27">
        <f>$C$9*C15</f>
        <v/>
      </c>
    </row>
    <row r="16">
      <c r="B16" s="30" t="inlineStr">
        <is>
          <t>Risk &amp; obsolescence</t>
        </is>
      </c>
      <c r="C16" s="29">
        <f>'Inputs &amp; Assumptions'!C18</f>
        <v/>
      </c>
      <c r="D16" s="27">
        <f>$C$9*C16</f>
        <v/>
      </c>
    </row>
    <row r="17">
      <c r="B17" s="30" t="inlineStr">
        <is>
          <t>Service (insurance/tax)</t>
        </is>
      </c>
      <c r="C17" s="29">
        <f>'Inputs &amp; Assumptions'!C19</f>
        <v/>
      </c>
      <c r="D17" s="27">
        <f>$C$9*C17</f>
        <v/>
      </c>
    </row>
    <row r="18">
      <c r="B18" s="19" t="inlineStr">
        <is>
          <t>Total</t>
        </is>
      </c>
      <c r="C18" s="14">
        <f>SUM(C14:C17)</f>
        <v/>
      </c>
      <c r="D18" s="39">
        <f>SUM(D14:D17)</f>
        <v/>
      </c>
    </row>
    <row r="20" ht="20" customHeight="1">
      <c r="B20" s="10" t="inlineStr">
        <is>
          <t>Savings waterfall</t>
        </is>
      </c>
    </row>
    <row r="21">
      <c r="B21" s="40" t="inlineStr">
        <is>
          <t>Lever</t>
        </is>
      </c>
      <c r="C21" s="40" t="inlineStr">
        <is>
          <t>% of holding cost</t>
        </is>
      </c>
      <c r="D21" s="40" t="inlineStr">
        <is>
          <t>Annual savings (₹)</t>
        </is>
      </c>
      <c r="E21" s="40" t="inlineStr">
        <is>
          <t>Notes</t>
        </is>
      </c>
    </row>
    <row r="22">
      <c r="B22" s="30" t="inlineStr">
        <is>
          <t>Safety-stock right-sizing</t>
        </is>
      </c>
      <c r="C22" s="29">
        <f>'Inputs &amp; Assumptions'!C24*'Inputs &amp; Assumptions'!$C$23</f>
        <v/>
      </c>
      <c r="D22" s="27">
        <f>$C$9*C22</f>
        <v/>
      </c>
      <c r="E22" s="16" t="inlineStr">
        <is>
          <t>Reorder points from demand variability</t>
        </is>
      </c>
    </row>
    <row r="23">
      <c r="B23" s="30" t="inlineStr">
        <is>
          <t>Dead / slow-mover liquidation</t>
        </is>
      </c>
      <c r="C23" s="29">
        <f>'Inputs &amp; Assumptions'!C25*'Inputs &amp; Assumptions'!$C$23</f>
        <v/>
      </c>
      <c r="D23" s="27">
        <f>$C$9*C23</f>
        <v/>
      </c>
      <c r="E23" s="16" t="inlineStr">
        <is>
          <t>Clear C-Z / C-Y inventory</t>
        </is>
      </c>
    </row>
    <row r="24">
      <c r="B24" s="30" t="inlineStr">
        <is>
          <t>Order-quantity (EOQ) optimization</t>
        </is>
      </c>
      <c r="C24" s="29">
        <f>'Inputs &amp; Assumptions'!C26*'Inputs &amp; Assumptions'!$C$23</f>
        <v/>
      </c>
      <c r="D24" s="27">
        <f>$C$9*C24</f>
        <v/>
      </c>
      <c r="E24" s="16" t="inlineStr">
        <is>
          <t>Right-sized replenishment lots</t>
        </is>
      </c>
    </row>
    <row r="25">
      <c r="B25" s="30" t="inlineStr">
        <is>
          <t>Variant rationalization</t>
        </is>
      </c>
      <c r="C25" s="29">
        <f>'Inputs &amp; Assumptions'!C27*'Inputs &amp; Assumptions'!$C$23</f>
        <v/>
      </c>
      <c r="D25" s="27">
        <f>$C$9*C25</f>
        <v/>
      </c>
      <c r="E25" s="16" t="inlineStr">
        <is>
          <t>Consolidate low-demand variants</t>
        </is>
      </c>
    </row>
    <row r="26">
      <c r="B26" s="19" t="inlineStr">
        <is>
          <t>Total modelled savings</t>
        </is>
      </c>
      <c r="C26" s="14">
        <f>SUM(C22:C25)</f>
        <v/>
      </c>
      <c r="D26" s="39">
        <f>SUM(D22:D25)</f>
        <v/>
      </c>
    </row>
    <row r="28" ht="20" customHeight="1">
      <c r="B28" s="10" t="inlineStr">
        <is>
          <t>Target state</t>
        </is>
      </c>
    </row>
    <row r="29">
      <c r="B29" s="3" t="inlineStr">
        <is>
          <t>Target annual holding cost</t>
        </is>
      </c>
      <c r="C29" s="39">
        <f>C9-D26</f>
        <v/>
      </c>
    </row>
    <row r="30">
      <c r="B30" s="7" t="inlineStr">
        <is>
          <t xml:space="preserve">  as % of inventory value</t>
        </is>
      </c>
      <c r="C30" s="29">
        <f>C29/C8</f>
        <v/>
      </c>
    </row>
    <row r="31">
      <c r="B31" s="3" t="inlineStr">
        <is>
          <t>In 15–20% target range?</t>
        </is>
      </c>
      <c r="C31" s="42">
        <f>IF(AND(C26&gt;=0.15,C26&lt;=0.20),"Yes","Check scenario/inputs")</f>
        <v/>
      </c>
    </row>
  </sheetData>
  <mergeCells count="4">
    <mergeCell ref="B12:D12"/>
    <mergeCell ref="B28:D28"/>
    <mergeCell ref="B5:D5"/>
    <mergeCell ref="B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2026-08-01T17:39:21Z</dcterms:created>
  <dcterms:modified xsi:type="dcterms:W3CDTF">2026-08-01T17:39:21Z</dcterms:modified>
</cp:coreProperties>
</file>