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 &amp; Assumptions" sheetId="2" state="visible" r:id="rId2"/>
    <sheet name="ABC-XYZ Reference" sheetId="3" state="visible" r:id="rId3"/>
    <sheet name="Holding Cost 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₹#,##0;(₹#,##0);&quot;-&quot;"/>
    <numFmt numFmtId="166" formatCode="0.0%"/>
    <numFmt numFmtId="167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000000"/>
    </font>
    <font>
      <name val="Arial"/>
      <color rgb="00000000"/>
    </font>
    <font>
      <name val="Arial"/>
      <b val="1"/>
      <color rgb="000000FF"/>
    </font>
    <font>
      <name val="Arial"/>
      <b val="1"/>
      <color rgb="00FFFFFF"/>
    </font>
    <font>
      <name val="Arial"/>
      <b val="1"/>
      <color rgb="00FFFFFF"/>
      <sz val="11"/>
    </font>
    <font>
      <name val="Arial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3" borderId="0" applyAlignment="1" pivotButton="0" quotePrefix="0" xfId="0">
      <alignment vertical="center" indent="1"/>
    </xf>
    <xf numFmtId="164" fontId="5" fillId="2" borderId="1" pivotButton="0" quotePrefix="0" xfId="0"/>
    <xf numFmtId="165" fontId="5" fillId="2" borderId="1" pivotButton="0" quotePrefix="0" xfId="0"/>
    <xf numFmtId="166" fontId="5" fillId="2" borderId="1" pivotButton="0" quotePrefix="0" xfId="0"/>
    <xf numFmtId="166" fontId="3" fillId="0" borderId="1" pivotButton="0" quotePrefix="0" xfId="0"/>
    <xf numFmtId="167" fontId="5" fillId="2" borderId="1" pivotButton="0" quotePrefix="0" xfId="0"/>
    <xf numFmtId="0" fontId="2" fillId="0" borderId="0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pivotButton="0" quotePrefix="0" xfId="0"/>
    <xf numFmtId="166" fontId="4" fillId="0" borderId="1" applyAlignment="1" pivotButton="0" quotePrefix="0" xfId="0">
      <alignment horizontal="center"/>
    </xf>
    <xf numFmtId="166" fontId="3" fillId="5" borderId="1" applyAlignment="1" pivotButton="0" quotePrefix="0" xfId="0">
      <alignment horizontal="center"/>
    </xf>
    <xf numFmtId="164" fontId="3" fillId="0" borderId="1" pivotButton="0" quotePrefix="0" xfId="0"/>
    <xf numFmtId="164" fontId="4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0" fontId="3" fillId="4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B10" authorId="0" shapeId="0">
      <text>
        <t>Blended landed cost per unit across the catalog.</t>
      </text>
    </comment>
    <comment ref="B12" authorId="0" shapeId="0">
      <text>
        <t>Average inventory position, in days of forward demand.</t>
      </text>
    </comment>
    <comment ref="B13" authorId="0" shapeId="0">
      <text>
        <t>Industry benchmark range for manufacturing/auto components is ~18-30%.</t>
      </text>
    </comment>
    <comment ref="B23" authorId="0" shapeId="0">
      <text>
        <t>0.85 = Conservative, 1.00 = Base case, 1.18 = Aggressive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Motherson Warehouse — Inventory Holding Cost Model</t>
        </is>
      </c>
    </row>
    <row r="3">
      <c r="B3" s="2" t="inlineStr">
        <is>
          <t>Discussion model — replace the yellow input cells with real SKU-level data as it becomes available.</t>
        </is>
      </c>
    </row>
    <row r="5">
      <c r="B5" s="3" t="inlineStr">
        <is>
          <t>How to use this workbook</t>
        </is>
      </c>
    </row>
    <row r="6">
      <c r="B6" s="4" t="inlineStr">
        <is>
          <t>1.  Go to the 'Inputs &amp; Assumptions' tab. Every yellow cell with blue text is editable.</t>
        </is>
      </c>
    </row>
    <row r="7">
      <c r="B7" s="4" t="inlineStr">
        <is>
          <t>2.  'Holding Cost Model' recalculates automatically from those inputs — nothing there needs to be typed in.</t>
        </is>
      </c>
    </row>
    <row r="8">
      <c r="B8" s="4" t="inlineStr">
        <is>
          <t>3.  Change the Scenario Multiplier (Conservative 0.85 / Base 1.00 / Aggressive 1.18) to see the savings range move.</t>
        </is>
      </c>
    </row>
    <row r="9">
      <c r="B9" s="4" t="inlineStr">
        <is>
          <t>4.  All figures are illustrative, built from industry-benchmark holding-cost ratios, until real data replaces them.</t>
        </is>
      </c>
    </row>
    <row r="11">
      <c r="B11" s="3" t="inlineStr">
        <is>
          <t>Color legend</t>
        </is>
      </c>
    </row>
    <row r="12">
      <c r="B12" s="5" t="inlineStr">
        <is>
          <t xml:space="preserve">   Editable input</t>
        </is>
      </c>
      <c r="C12" s="6" t="n"/>
    </row>
    <row r="13">
      <c r="B13" s="7" t="inlineStr">
        <is>
          <t xml:space="preserve">   Calculated (formula — do not hardcode)</t>
        </is>
      </c>
    </row>
    <row r="14">
      <c r="B14" s="8" t="inlineStr">
        <is>
          <t xml:space="preserve">   Section header</t>
        </is>
      </c>
      <c r="C14" s="9" t="n"/>
    </row>
    <row r="16">
      <c r="B16" s="3" t="inlineStr">
        <is>
          <t>Tabs</t>
        </is>
      </c>
    </row>
    <row r="17">
      <c r="B17" s="7" t="inlineStr">
        <is>
          <t xml:space="preserve">   Inputs &amp; Assumptions — every editable number in one place</t>
        </is>
      </c>
    </row>
    <row r="18">
      <c r="B18" s="7" t="inlineStr">
        <is>
          <t xml:space="preserve">   Holding Cost Model — current-state KPIs, cost driver split, and the savings waterfall</t>
        </is>
      </c>
    </row>
    <row r="19">
      <c r="B19" s="7" t="inlineStr">
        <is>
          <t xml:space="preserve">   ABC-XYZ Reference — illustrative segmentation used to talk through where dead stock hides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46" customWidth="1" min="4" max="4"/>
  </cols>
  <sheetData>
    <row r="2">
      <c r="B2" s="1" t="inlineStr">
        <is>
          <t>Inputs &amp; Assumptions</t>
        </is>
      </c>
    </row>
    <row r="3">
      <c r="B3" s="2" t="inlineStr">
        <is>
          <t>Edit the yellow cells. Everything on 'Holding Cost Model' updates automatically.</t>
        </is>
      </c>
    </row>
    <row r="5" ht="20" customHeight="1">
      <c r="B5" s="10" t="inlineStr">
        <is>
          <t>Scope</t>
        </is>
      </c>
    </row>
    <row r="6">
      <c r="B6" s="7" t="inlineStr">
        <is>
          <t>Base SKUs</t>
        </is>
      </c>
      <c r="C6" s="11" t="n">
        <v>1100</v>
      </c>
    </row>
    <row r="7">
      <c r="B7" s="7" t="inlineStr">
        <is>
          <t>Variants per SKU</t>
        </is>
      </c>
      <c r="C7" s="11" t="n">
        <v>6</v>
      </c>
    </row>
    <row r="9" ht="20" customHeight="1">
      <c r="B9" s="10" t="inlineStr">
        <is>
          <t>Unit economics &amp; inventory position</t>
        </is>
      </c>
    </row>
    <row r="10">
      <c r="B10" s="7" t="inlineStr">
        <is>
          <t>Avg. unit cost (₹)</t>
        </is>
      </c>
      <c r="C10" s="12" t="n">
        <v>1800</v>
      </c>
    </row>
    <row r="11">
      <c r="B11" s="7" t="inlineStr">
        <is>
          <t>Avg. annual demand per SKU-variant (units)</t>
        </is>
      </c>
      <c r="C11" s="11" t="n">
        <v>850</v>
      </c>
    </row>
    <row r="12">
      <c r="B12" s="7" t="inlineStr">
        <is>
          <t>Current days of supply on hand</t>
        </is>
      </c>
      <c r="C12" s="11" t="n">
        <v>96</v>
      </c>
    </row>
    <row r="13">
      <c r="B13" s="7" t="inlineStr">
        <is>
          <t>Holding cost rate (% of inventory value / yr)</t>
        </is>
      </c>
      <c r="C13" s="13" t="n">
        <v>0.24</v>
      </c>
    </row>
    <row r="15" ht="20" customHeight="1">
      <c r="B15" s="10" t="inlineStr">
        <is>
          <t>Holding cost driver split (must total 100%)</t>
        </is>
      </c>
    </row>
    <row r="16">
      <c r="B16" s="7" t="inlineStr">
        <is>
          <t>Capital cost</t>
        </is>
      </c>
      <c r="C16" s="13" t="n">
        <v>0.46</v>
      </c>
    </row>
    <row r="17">
      <c r="B17" s="7" t="inlineStr">
        <is>
          <t>Storage &amp; handling</t>
        </is>
      </c>
      <c r="C17" s="13" t="n">
        <v>0.19</v>
      </c>
    </row>
    <row r="18">
      <c r="B18" s="7" t="inlineStr">
        <is>
          <t>Risk &amp; obsolescence</t>
        </is>
      </c>
      <c r="C18" s="13" t="n">
        <v>0.27</v>
      </c>
    </row>
    <row r="19">
      <c r="B19" s="7" t="inlineStr">
        <is>
          <t>Service (insurance / tax)</t>
        </is>
      </c>
      <c r="C19" s="13" t="n">
        <v>0.08</v>
      </c>
    </row>
    <row r="20">
      <c r="B20" s="3" t="inlineStr">
        <is>
          <t>Check: total</t>
        </is>
      </c>
      <c r="C20" s="14">
        <f>SUM(C16:C19)</f>
        <v/>
      </c>
      <c r="D20" s="2" t="inlineStr">
        <is>
          <t>Must equal 100.0% — adjust the four splits above if not.</t>
        </is>
      </c>
    </row>
    <row r="22" ht="20" customHeight="1">
      <c r="B22" s="10" t="inlineStr">
        <is>
          <t>Savings levers — % of current holding cost</t>
        </is>
      </c>
    </row>
    <row r="23">
      <c r="B23" s="7" t="inlineStr">
        <is>
          <t>Scenario multiplier</t>
        </is>
      </c>
      <c r="C23" s="15" t="n">
        <v>1</v>
      </c>
    </row>
    <row r="24">
      <c r="B24" s="7" t="inlineStr">
        <is>
          <t>Safety-stock right-sizing (base %)</t>
        </is>
      </c>
      <c r="C24" s="13" t="n">
        <v>0.062</v>
      </c>
      <c r="D24" s="16" t="inlineStr">
        <is>
          <t>Reorder points set from demand variability instead of flat buffer days.</t>
        </is>
      </c>
    </row>
    <row r="25">
      <c r="B25" s="7" t="inlineStr">
        <is>
          <t>Dead / slow-mover liquidation (base %)</t>
        </is>
      </c>
      <c r="C25" s="13" t="n">
        <v>0.07000000000000001</v>
      </c>
      <c r="D25" s="16" t="inlineStr">
        <is>
          <t>Clearing/returning low-value, unpredictable-demand (C-Z/C-Y) inventory.</t>
        </is>
      </c>
    </row>
    <row r="26">
      <c r="B26" s="7" t="inlineStr">
        <is>
          <t>Order-quantity (EOQ) optimization (base %)</t>
        </is>
      </c>
      <c r="C26" s="13" t="n">
        <v>0.032</v>
      </c>
      <c r="D26" s="16" t="inlineStr">
        <is>
          <t>Right-sized lot sizes — carrying cost vs. ordering cost trade-off.</t>
        </is>
      </c>
    </row>
    <row r="27">
      <c r="B27" s="7" t="inlineStr">
        <is>
          <t>Variant rationalization (base %)</t>
        </is>
      </c>
      <c r="C27" s="13" t="n">
        <v>0.021</v>
      </c>
      <c r="D27" s="16" t="inlineStr">
        <is>
          <t>Consolidating low-demand variants that fragment volume.</t>
        </is>
      </c>
    </row>
  </sheetData>
  <mergeCells count="4">
    <mergeCell ref="B9:C9"/>
    <mergeCell ref="B22:C22"/>
    <mergeCell ref="B5:C5"/>
    <mergeCell ref="B15:C1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1" t="inlineStr">
        <is>
          <t>ABC × XYZ Reference Segmentation</t>
        </is>
      </c>
    </row>
    <row r="3">
      <c r="B3" s="16" t="inlineStr">
        <is>
          <t>Illustrative distribution of inventory value across 6,600 SKU-variants — replace with actuals once demand history is available.</t>
        </is>
      </c>
    </row>
    <row r="5" ht="20" customHeight="1">
      <c r="B5" s="10" t="inlineStr">
        <is>
          <t>Share of total inventory value, by segment</t>
        </is>
      </c>
    </row>
    <row r="6">
      <c r="B6" s="17" t="inlineStr"/>
      <c r="C6" s="18" t="inlineStr">
        <is>
          <t>X — steady demand</t>
        </is>
      </c>
      <c r="D6" s="18" t="inlineStr">
        <is>
          <t>Y — variable demand</t>
        </is>
      </c>
      <c r="E6" s="18" t="inlineStr">
        <is>
          <t>Z — sporadic demand</t>
        </is>
      </c>
    </row>
    <row r="7">
      <c r="B7" s="19" t="inlineStr">
        <is>
          <t>A — high value</t>
        </is>
      </c>
      <c r="C7" s="20" t="n">
        <v>0.42</v>
      </c>
      <c r="D7" s="20" t="n">
        <v>0.12</v>
      </c>
      <c r="E7" s="20" t="n">
        <v>0.03</v>
      </c>
    </row>
    <row r="8">
      <c r="B8" s="19" t="inlineStr">
        <is>
          <t>B — mid value</t>
        </is>
      </c>
      <c r="C8" s="20" t="n">
        <v>0.09</v>
      </c>
      <c r="D8" s="20" t="n">
        <v>0.1</v>
      </c>
      <c r="E8" s="20" t="n">
        <v>0.04</v>
      </c>
    </row>
    <row r="9">
      <c r="B9" s="19" t="inlineStr">
        <is>
          <t>C — low value</t>
        </is>
      </c>
      <c r="C9" s="20" t="n">
        <v>0.03</v>
      </c>
      <c r="D9" s="20" t="n">
        <v>0.06</v>
      </c>
      <c r="E9" s="21" t="n">
        <v>0.11</v>
      </c>
    </row>
    <row r="11">
      <c r="B11" s="16" t="inlineStr">
        <is>
          <t>C-Z (bottom right): low value, sporadic demand — the classic dead/slow-moving stock segment.</t>
        </is>
      </c>
    </row>
  </sheetData>
  <mergeCells count="2">
    <mergeCell ref="B11:E11"/>
    <mergeCell ref="B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Holding Cost Model — Current State &amp; Savings Waterfall</t>
        </is>
      </c>
    </row>
    <row r="3">
      <c r="B3" s="2" t="inlineStr">
        <is>
          <t>Every cell below is a formula referencing 'Inputs &amp; Assumptions'. Nothing here should ever be typed over.</t>
        </is>
      </c>
    </row>
    <row r="5" ht="20" customHeight="1">
      <c r="B5" s="10" t="inlineStr">
        <is>
          <t>Current state</t>
        </is>
      </c>
    </row>
    <row r="6">
      <c r="B6" s="7" t="inlineStr">
        <is>
          <t>Total SKU-variants</t>
        </is>
      </c>
      <c r="C6" s="22">
        <f>'Inputs &amp; Assumptions'!C6*'Inputs &amp; Assumptions'!C7</f>
        <v/>
      </c>
    </row>
    <row r="7">
      <c r="B7" s="7" t="inlineStr">
        <is>
          <t>Avg. inventory units per SKU-variant</t>
        </is>
      </c>
      <c r="C7" s="23">
        <f>'Inputs &amp; Assumptions'!C11/365*'Inputs &amp; Assumptions'!C12</f>
        <v/>
      </c>
    </row>
    <row r="8">
      <c r="B8" s="7" t="inlineStr">
        <is>
          <t>Total inventory value</t>
        </is>
      </c>
      <c r="C8" s="24">
        <f>C6*'Inputs &amp; Assumptions'!C10*C7</f>
        <v/>
      </c>
    </row>
    <row r="9">
      <c r="B9" s="7" t="inlineStr">
        <is>
          <t>Current annual holding cost</t>
        </is>
      </c>
      <c r="C9" s="24">
        <f>C8*'Inputs &amp; Assumptions'!C13</f>
        <v/>
      </c>
    </row>
    <row r="10">
      <c r="B10" s="7" t="inlineStr">
        <is>
          <t xml:space="preserve">  as % of inventory value</t>
        </is>
      </c>
      <c r="C10" s="25">
        <f>C9/C8</f>
        <v/>
      </c>
    </row>
    <row r="12" ht="20" customHeight="1">
      <c r="B12" s="10" t="inlineStr">
        <is>
          <t>Current holding cost, by driver</t>
        </is>
      </c>
    </row>
    <row r="13">
      <c r="B13" s="26" t="inlineStr">
        <is>
          <t>Driver</t>
        </is>
      </c>
      <c r="C13" s="26" t="inlineStr">
        <is>
          <t>Share</t>
        </is>
      </c>
      <c r="D13" s="26" t="inlineStr">
        <is>
          <t>Annual cost (₹)</t>
        </is>
      </c>
    </row>
    <row r="14">
      <c r="B14" s="27" t="inlineStr">
        <is>
          <t>Capital cost</t>
        </is>
      </c>
      <c r="C14" s="25">
        <f>'Inputs &amp; Assumptions'!C16</f>
        <v/>
      </c>
      <c r="D14" s="28">
        <f>$C$9*C14</f>
        <v/>
      </c>
    </row>
    <row r="15">
      <c r="B15" s="27" t="inlineStr">
        <is>
          <t>Storage &amp; handling</t>
        </is>
      </c>
      <c r="C15" s="25">
        <f>'Inputs &amp; Assumptions'!C17</f>
        <v/>
      </c>
      <c r="D15" s="28">
        <f>$C$9*C15</f>
        <v/>
      </c>
    </row>
    <row r="16">
      <c r="B16" s="27" t="inlineStr">
        <is>
          <t>Risk &amp; obsolescence</t>
        </is>
      </c>
      <c r="C16" s="25">
        <f>'Inputs &amp; Assumptions'!C18</f>
        <v/>
      </c>
      <c r="D16" s="28">
        <f>$C$9*C16</f>
        <v/>
      </c>
    </row>
    <row r="17">
      <c r="B17" s="27" t="inlineStr">
        <is>
          <t>Service (insurance/tax)</t>
        </is>
      </c>
      <c r="C17" s="25">
        <f>'Inputs &amp; Assumptions'!C19</f>
        <v/>
      </c>
      <c r="D17" s="28">
        <f>$C$9*C17</f>
        <v/>
      </c>
    </row>
    <row r="18">
      <c r="B18" s="19" t="inlineStr">
        <is>
          <t>Total</t>
        </is>
      </c>
      <c r="C18" s="14">
        <f>SUM(C14:C17)</f>
        <v/>
      </c>
      <c r="D18" s="24">
        <f>SUM(D14:D17)</f>
        <v/>
      </c>
    </row>
    <row r="20" ht="20" customHeight="1">
      <c r="B20" s="10" t="inlineStr">
        <is>
          <t>Savings waterfall</t>
        </is>
      </c>
    </row>
    <row r="21">
      <c r="B21" s="26" t="inlineStr">
        <is>
          <t>Lever</t>
        </is>
      </c>
      <c r="C21" s="26" t="inlineStr">
        <is>
          <t>% of holding cost</t>
        </is>
      </c>
      <c r="D21" s="26" t="inlineStr">
        <is>
          <t>Annual savings (₹)</t>
        </is>
      </c>
      <c r="E21" s="26" t="inlineStr">
        <is>
          <t>Notes</t>
        </is>
      </c>
    </row>
    <row r="22">
      <c r="B22" s="27" t="inlineStr">
        <is>
          <t>Safety-stock right-sizing</t>
        </is>
      </c>
      <c r="C22" s="25">
        <f>'Inputs &amp; Assumptions'!C24*'Inputs &amp; Assumptions'!$C$23</f>
        <v/>
      </c>
      <c r="D22" s="28">
        <f>$C$9*C22</f>
        <v/>
      </c>
      <c r="E22" s="16" t="inlineStr">
        <is>
          <t>Reorder points from demand variability</t>
        </is>
      </c>
    </row>
    <row r="23">
      <c r="B23" s="27" t="inlineStr">
        <is>
          <t>Dead / slow-mover liquidation</t>
        </is>
      </c>
      <c r="C23" s="25">
        <f>'Inputs &amp; Assumptions'!C25*'Inputs &amp; Assumptions'!$C$23</f>
        <v/>
      </c>
      <c r="D23" s="28">
        <f>$C$9*C23</f>
        <v/>
      </c>
      <c r="E23" s="16" t="inlineStr">
        <is>
          <t>Clear C-Z / C-Y inventory</t>
        </is>
      </c>
    </row>
    <row r="24">
      <c r="B24" s="27" t="inlineStr">
        <is>
          <t>Order-quantity (EOQ) optimization</t>
        </is>
      </c>
      <c r="C24" s="25">
        <f>'Inputs &amp; Assumptions'!C26*'Inputs &amp; Assumptions'!$C$23</f>
        <v/>
      </c>
      <c r="D24" s="28">
        <f>$C$9*C24</f>
        <v/>
      </c>
      <c r="E24" s="16" t="inlineStr">
        <is>
          <t>Right-sized replenishment lots</t>
        </is>
      </c>
    </row>
    <row r="25">
      <c r="B25" s="27" t="inlineStr">
        <is>
          <t>Variant rationalization</t>
        </is>
      </c>
      <c r="C25" s="25">
        <f>'Inputs &amp; Assumptions'!C27*'Inputs &amp; Assumptions'!$C$23</f>
        <v/>
      </c>
      <c r="D25" s="28">
        <f>$C$9*C25</f>
        <v/>
      </c>
      <c r="E25" s="16" t="inlineStr">
        <is>
          <t>Consolidate low-demand variants</t>
        </is>
      </c>
    </row>
    <row r="26">
      <c r="B26" s="19" t="inlineStr">
        <is>
          <t>Total modelled savings</t>
        </is>
      </c>
      <c r="C26" s="14">
        <f>SUM(C22:C25)</f>
        <v/>
      </c>
      <c r="D26" s="24">
        <f>SUM(D22:D25)</f>
        <v/>
      </c>
    </row>
    <row r="28" ht="20" customHeight="1">
      <c r="B28" s="10" t="inlineStr">
        <is>
          <t>Target state</t>
        </is>
      </c>
    </row>
    <row r="29">
      <c r="B29" s="3" t="inlineStr">
        <is>
          <t>Target annual holding cost</t>
        </is>
      </c>
      <c r="C29" s="24">
        <f>C9-D26</f>
        <v/>
      </c>
    </row>
    <row r="30">
      <c r="B30" s="7" t="inlineStr">
        <is>
          <t xml:space="preserve">  as % of inventory value</t>
        </is>
      </c>
      <c r="C30" s="25">
        <f>C29/C8</f>
        <v/>
      </c>
    </row>
    <row r="31">
      <c r="B31" s="3" t="inlineStr">
        <is>
          <t>In 15–20% target range?</t>
        </is>
      </c>
      <c r="C31" s="29">
        <f>IF(AND(C26&gt;=0.15,C26&lt;=0.20),"Yes","Check scenario/inputs")</f>
        <v/>
      </c>
    </row>
  </sheetData>
  <mergeCells count="4">
    <mergeCell ref="B12:D12"/>
    <mergeCell ref="B28:D28"/>
    <mergeCell ref="B5:D5"/>
    <mergeCell ref="B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2026-08-01T17:05:47Z</dcterms:created>
  <dcterms:modified xsi:type="dcterms:W3CDTF">2026-08-01T17:05:47Z</dcterms:modified>
</cp:coreProperties>
</file>